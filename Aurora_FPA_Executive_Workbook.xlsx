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Monthly P&amp;L" sheetId="2" state="visible" r:id="rId4"/>
    <sheet name="Actual vs Budget" sheetId="3" state="visible" r:id="rId5"/>
    <sheet name="Actual vs Forecast" sheetId="4" state="visible" r:id="rId6"/>
    <sheet name="Scenario Planning" sheetId="5" state="visible" r:id="rId7"/>
    <sheet name="3-Year LRP" sheetId="6" state="visible" r:id="rId8"/>
    <sheet name="ML Forecast Accuracy" sheetId="7" state="visible" r:id="rId9"/>
    <sheet name="Driver Model - Revenue" sheetId="8" state="visible" r:id="rId10"/>
    <sheet name="Commentary NLP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<sst xmlns="http://schemas.openxmlformats.org/spreadsheetml/2006/main" count="1037" uniqueCount="206">
  <si>
    <t xml:space="preserve">Aurora Dynamics Inc.</t>
  </si>
  <si>
    <t xml:space="preserve">Enterprise FP&amp;A Planning &amp; Executive Decision Intelligence Workbook</t>
  </si>
  <si>
    <t xml:space="preserve">Contents</t>
  </si>
  <si>
    <t xml:space="preserve">▸ Monthly P&amp;L (Actuals)</t>
  </si>
  <si>
    <t xml:space="preserve">Consolidated monthly P&amp;L, FY2023-FY2026 actuals, with gross margin &amp; EBITDA margin formulas.</t>
  </si>
  <si>
    <t xml:space="preserve">▸ Actual vs Budget</t>
  </si>
  <si>
    <t xml:space="preserve">Monthly variance of actuals vs. approved budget, Revenue and Opex, FY2024-FY2026.</t>
  </si>
  <si>
    <t xml:space="preserve">▸ Actual vs Forecast</t>
  </si>
  <si>
    <t xml:space="preserve">Monthly variance of actuals vs. latest rolling forecast (as of Jun-2026 close).</t>
  </si>
  <si>
    <t xml:space="preserve">▸ Scenario Planning</t>
  </si>
  <si>
    <t xml:space="preserve">Base / Upside / Downside flexed P&amp;L for FY26 remainder and the FY27-29 long-range plan.</t>
  </si>
  <si>
    <t xml:space="preserve">▸ 3-Year LRP</t>
  </si>
  <si>
    <t xml:space="preserve">Annual long-range plan, FY2027-FY2029, with driver assumptions.</t>
  </si>
  <si>
    <t xml:space="preserve">▸ ML Forecast Accuracy</t>
  </si>
  <si>
    <t xml:space="preserve">Statistical vs. machine-learning forecast model accuracy comparison (MAPE/RMSE/MAE).</t>
  </si>
  <si>
    <t xml:space="preserve">▸ Driver Model - Revenue</t>
  </si>
  <si>
    <t xml:space="preserve">Bottoms-up customers x ARPU driver model by segment.</t>
  </si>
  <si>
    <t xml:space="preserve">▸ Commentary NLP</t>
  </si>
  <si>
    <t xml:space="preserve">NLP-scored management commentary with sentiment, topics, and variance linkage.</t>
  </si>
  <si>
    <t xml:space="preserve">Legend: blue text = hardcoded input/assumption · black text = formula · green text = cross-sheet link</t>
  </si>
  <si>
    <t xml:space="preserve">Source: Synthetic SAP-style dataset generated for this workbook; all figures illustrative, not real financials.</t>
  </si>
  <si>
    <t xml:space="preserve">Period</t>
  </si>
  <si>
    <t xml:space="preserve">Total Revenue</t>
  </si>
  <si>
    <t xml:space="preserve">Total COGS</t>
  </si>
  <si>
    <t xml:space="preserve">Gross Profit (fx)</t>
  </si>
  <si>
    <t xml:space="preserve">Gross Margin % (fx)</t>
  </si>
  <si>
    <t xml:space="preserve">Total Opex (below GM)</t>
  </si>
  <si>
    <t xml:space="preserve">EBITDA (fx)</t>
  </si>
  <si>
    <t xml:space="preserve">EBITDA Margin % (fx)</t>
  </si>
  <si>
    <t xml:space="preserve">Jan-2023</t>
  </si>
  <si>
    <t xml:space="preserve">Feb-2023</t>
  </si>
  <si>
    <t xml:space="preserve">Mar-2023</t>
  </si>
  <si>
    <t xml:space="preserve">Apr-2023</t>
  </si>
  <si>
    <t xml:space="preserve">May-2023</t>
  </si>
  <si>
    <t xml:space="preserve">Jun-2023</t>
  </si>
  <si>
    <t xml:space="preserve">Jul-2023</t>
  </si>
  <si>
    <t xml:space="preserve">Aug-2023</t>
  </si>
  <si>
    <t xml:space="preserve">Sep-2023</t>
  </si>
  <si>
    <t xml:space="preserve">Oct-2023</t>
  </si>
  <si>
    <t xml:space="preserve">Nov-2023</t>
  </si>
  <si>
    <t xml:space="preserve">Dec-2023</t>
  </si>
  <si>
    <t xml:space="preserve">Jan-2024</t>
  </si>
  <si>
    <t xml:space="preserve">Feb-2024</t>
  </si>
  <si>
    <t xml:space="preserve">Mar-2024</t>
  </si>
  <si>
    <t xml:space="preserve">Apr-2024</t>
  </si>
  <si>
    <t xml:space="preserve">May-2024</t>
  </si>
  <si>
    <t xml:space="preserve">Jun-2024</t>
  </si>
  <si>
    <t xml:space="preserve">Jul-2024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</si>
  <si>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</si>
  <si>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</si>
  <si>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</si>
  <si>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</si>
  <si>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</si>
  <si>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</si>
  <si>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</si>
  <si>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</si>
  <si>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</si>
  <si>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</si>
  <si>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</si>
  <si>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</si>
  <si>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</si>
  <si>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</si>
  <si>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</si>
  <si>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</si>
  <si>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</si>
  <si>
    <t xml:space="preserve">Jan-2026</t>
  </si>
  <si>
    <t xml:space="preserve">Feb-2026</t>
  </si>
  <si>
    <t xml:space="preserve">Mar-2026</t>
  </si>
  <si>
    <t xml:space="preserve">Apr-2026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</si>
  <si>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</si>
  <si>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</si>
  <si>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</si>
  <si>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</si>
  <si>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</si>
  <si>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Oct-2026</t>
  </si>
  <si>
    <t xml:space="preserve">Nov-2026</t>
  </si>
  <si>
    <t xml:space="preserve">Dec-2026</t>
  </si>
  <si>
    <t xml:space="preserve">Line Type</t>
  </si>
  <si>
    <t xml:space="preserve">Budget Amount</t>
  </si>
  <si>
    <t xml:space="preserve">Actual Amount</t>
  </si>
  <si>
    <t xml:space="preserve">Variance $ (fx)</t>
  </si>
  <si>
    <t xml:space="preserve">Variance % (fx)</t>
  </si>
  <si>
    <t xml:space="preserve">Opex</t>
  </si>
  <si>
    <t xml:space="preserve">Revenue</t>
  </si>
  <si>
    <t xml:space="preserve">Forecast Amount</t>
  </si>
  <si>
    <t xml:space="preserve">Scenario Assumptions (editable inputs — blue cells)</t>
  </si>
  <si>
    <t xml:space="preserve">Scenario</t>
  </si>
  <si>
    <t xml:space="preserve">Revenue Growth Δ</t>
  </si>
  <si>
    <t xml:space="preserve">Churn Δ</t>
  </si>
  <si>
    <t xml:space="preserve">Opex Growth Δ</t>
  </si>
  <si>
    <t xml:space="preserve">Description</t>
  </si>
  <si>
    <t xml:space="preserve">Base</t>
  </si>
  <si>
    <t xml:space="preserve">Latest board-approved forecast trajectory.</t>
  </si>
  <si>
    <t xml:space="preserve">Upside</t>
  </si>
  <si>
    <t xml:space="preserve">Faster net-new logo growth + lower churn; opex flexes up to support delivery.</t>
  </si>
  <si>
    <t xml:space="preserve">Downside</t>
  </si>
  <si>
    <t xml:space="preserve">Macro slowdown compresses new business and expands churn; discretionary opex cut in response.</t>
  </si>
  <si>
    <t xml:space="preserve">FY26 Remainder — Scenario-Flexed P&amp;L (monthly, summed by scenario)</t>
  </si>
  <si>
    <t xml:space="preserve">Revenue (fx)</t>
  </si>
  <si>
    <t xml:space="preserve">Opex (fx)</t>
  </si>
  <si>
    <t xml:space="preserve">EBITDA proxy (fx)</t>
  </si>
  <si>
    <t xml:space="preserve">FY27-FY29 Long-Range Plan — Scenario-Flexed</t>
  </si>
  <si>
    <t xml:space="preserve">Fiscal Year</t>
  </si>
  <si>
    <t xml:space="preserve">Plan Revenue (fx)</t>
  </si>
  <si>
    <t xml:space="preserve">Plan Opex (fx)</t>
  </si>
  <si>
    <t xml:space="preserve">Plan EBITDA (fx)</t>
  </si>
  <si>
    <t xml:space="preserve">Plan Revenue</t>
  </si>
  <si>
    <t xml:space="preserve">Plan Opex</t>
  </si>
  <si>
    <t xml:space="preserve">Plan EBITDA Margin % (fx)</t>
  </si>
  <si>
    <t xml:space="preserve">Note: base-case LRP built from FY26 annualized run-rate x management growth assumptions (Rev CAGR 17-22%, Opex growth 13-16%). See Scenario Planning tab for Upside/Downside flex.</t>
  </si>
  <si>
    <t xml:space="preserve">Forecast Model Accuracy Comparison — 6-month holdout (trailing actuals, company revenue)</t>
  </si>
  <si>
    <t xml:space="preserve">Model</t>
  </si>
  <si>
    <t xml:space="preserve">MAPE (fx)</t>
  </si>
  <si>
    <t xml:space="preserve">RMSE (fx)</t>
  </si>
  <si>
    <t xml:space="preserve">MAE (fx)</t>
  </si>
  <si>
    <t xml:space="preserve">Linear Regression</t>
  </si>
  <si>
    <t xml:space="preserve">Linear Trend (time-only)</t>
  </si>
  <si>
    <t xml:space="preserve">Naive (last value)</t>
  </si>
  <si>
    <t xml:space="preserve">Gradient Boosting</t>
  </si>
  <si>
    <t xml:space="preserve">Moving Average (3mo)</t>
  </si>
  <si>
    <t xml:space="preserve">Random Forest</t>
  </si>
  <si>
    <t xml:space="preserve">MAPE = Mean Absolute Percentage Error (lower is better). Models trained on FY23-FY25 monthly revenue with lag/rolling-mean features; evaluated on the trailing 6 actual months.</t>
  </si>
  <si>
    <t xml:space="preserve">Segment</t>
  </si>
  <si>
    <t xml:space="preserve">Customers</t>
  </si>
  <si>
    <t xml:space="preserve">ARPU (implied)</t>
  </si>
  <si>
    <t xml:space="preserve">Revenue (fx = Customers x ARPU)</t>
  </si>
  <si>
    <t xml:space="preserve">New Logos</t>
  </si>
  <si>
    <t xml:space="preserve">Churned</t>
  </si>
  <si>
    <t xml:space="preserve">Net New Customers</t>
  </si>
  <si>
    <t xml:space="preserve">Churn Rate (implied, fx)</t>
  </si>
  <si>
    <t xml:space="preserve">PC10</t>
  </si>
  <si>
    <t xml:space="preserve">PC20</t>
  </si>
  <si>
    <t xml:space="preserve">PC40</t>
  </si>
  <si>
    <t xml:space="preserve">Fiscal Quarter</t>
  </si>
  <si>
    <t xml:space="preserve">Department</t>
  </si>
  <si>
    <t xml:space="preserve">Commentary</t>
  </si>
  <si>
    <t xml:space="preserve">Sentiment Score</t>
  </si>
  <si>
    <t xml:space="preserve">Predicted Tone</t>
  </si>
  <si>
    <t xml:space="preserve">Authored Tone (ground truth)</t>
  </si>
  <si>
    <t xml:space="preserve">Top Keywords</t>
  </si>
  <si>
    <t xml:space="preserve">Topic Cluster</t>
  </si>
  <si>
    <t xml:space="preserve">2023-Q1</t>
  </si>
  <si>
    <t xml:space="preserve">Sales &amp; Marketing</t>
  </si>
  <si>
    <t xml:space="preserve">New logo bookings accelerated meaningfully, with enterprise deal sizes up double digits versus prior quarter; the recently hired enterprise AEs are ramping ahead of plan.</t>
  </si>
  <si>
    <t xml:space="preserve">Positive</t>
  </si>
  <si>
    <t xml:space="preserve">positive</t>
  </si>
  <si>
    <t xml:space="preserve">enterprise, versus prior, ramping ahead, versus, prior quarter</t>
  </si>
  <si>
    <t xml:space="preserve">Research &amp; Development</t>
  </si>
  <si>
    <t xml:space="preserve">The team successfully reduced cloud infrastructure cost per customer through the optimization initiative, which should benefit gross margin going forward.</t>
  </si>
  <si>
    <t xml:space="preserve">reduced, reduced cloud, successfully, successfully reduced, initiative benefit</t>
  </si>
  <si>
    <t xml:space="preserve">General &amp; Administrative</t>
  </si>
  <si>
    <t xml:space="preserve">G&amp;A headcount remained roughly flat quarter over quarter, consistent with our lean corporate function strategy.</t>
  </si>
  <si>
    <t xml:space="preserve">Neutral</t>
  </si>
  <si>
    <t xml:space="preserve">neutral</t>
  </si>
  <si>
    <t xml:space="preserve">quarter, consistent, headcount</t>
  </si>
  <si>
    <t xml:space="preserve">Customer Success</t>
  </si>
  <si>
    <t xml:space="preserve">Customer Success headcount grew modestly to support the expanding subscription customer base.</t>
  </si>
  <si>
    <t xml:space="preserve">customer, subscription customer, support expanding, subscription, modestly support</t>
  </si>
  <si>
    <t xml:space="preserve">Cloud Operations (COGS)</t>
  </si>
  <si>
    <t xml:space="preserve">Hosting costs ran above plan this quarter due to unplanned capacity additions ahead of a major customer go-live.</t>
  </si>
  <si>
    <t xml:space="preserve">negative</t>
  </si>
  <si>
    <t xml:space="preserve">unplanned, unplanned capacity, ran plan, quarter unplanned, ran</t>
  </si>
  <si>
    <t xml:space="preserve">2023-Q2</t>
  </si>
  <si>
    <t xml:space="preserve">Headcount in Sales &amp; Marketing grew in line with plan as we continue to build out the EMEA go-to-market team.</t>
  </si>
  <si>
    <t xml:space="preserve">sales marketing, marketing, sales, team, grew</t>
  </si>
  <si>
    <t xml:space="preserve">R&amp;D headcount grew as planned with the addition of the new APAC engineering hub.</t>
  </si>
  <si>
    <t xml:space="preserve">planned addition, planned, addition new, addition, apac engineering</t>
  </si>
  <si>
    <t xml:space="preserve">G&amp;A completed the ERP system upgrade under budget, and finance close cycle time improved by two days as a result.</t>
  </si>
  <si>
    <t xml:space="preserve">upgrade, upgrade budget, time improved, time, result</t>
  </si>
  <si>
    <t xml:space="preserve">Support ticket resolution times improved significantly following the rollout of the new knowledge base and staffing increase.</t>
  </si>
  <si>
    <t xml:space="preserve">staffing, staffing increase, significantly, support ticket, ticket resolution</t>
  </si>
  <si>
    <t xml:space="preserve">Cloud Operations achieved a notable reduction in hosting cost per transaction through the infrastructure consolidation project, supporting gross margin expansion.</t>
  </si>
  <si>
    <t xml:space="preserve">transaction infrastructure, transaction, project supporting, project, reduction hosting</t>
  </si>
  <si>
    <t xml:space="preserve">2023-Q3</t>
  </si>
  <si>
    <t xml:space="preserve">Cloud infrastructure spend tracked closely to plan this quarter with no material variances.</t>
  </si>
  <si>
    <t xml:space="preserve">cloud infrastructure, plan quarter, infrastructure, cloud, plan</t>
  </si>
  <si>
    <t xml:space="preserve">2023-Q4</t>
  </si>
  <si>
    <t xml:space="preserve">Sales &amp; Marketing exceeded pipeline generation targets this quarter, driven by strong performance in the Cloud Platform segment and improved conversion rates from the new outbound motion.</t>
  </si>
  <si>
    <t xml:space="preserve">rates new, performance cloud, pipeline, pipeline generation, performance</t>
  </si>
  <si>
    <t xml:space="preserve">Professional fees exceeded plan due to additional legal costs associated with a customer contract dispute, now substantially resolved.</t>
  </si>
  <si>
    <t xml:space="preserve">exceeded, costs, plan, customer</t>
  </si>
  <si>
    <t xml:space="preserve">2024-Q1</t>
  </si>
  <si>
    <t xml:space="preserve">Engineering attrition was elevated this quarter, requiring backfill hiring that pressured near-term productivity.</t>
  </si>
  <si>
    <t xml:space="preserve">Negative</t>
  </si>
  <si>
    <t xml:space="preserve">engineering, quarter</t>
  </si>
  <si>
    <t xml:space="preserve">Customer Success drove a meaningful improvement in net revenue retention this quarter, aided by the new customer health-scoring model and proactive renewal outreach.</t>
  </si>
  <si>
    <t xml:space="preserve">customer, success, customer success, new, quarter</t>
  </si>
  <si>
    <t xml:space="preserve">2024-Q2</t>
  </si>
  <si>
    <t xml:space="preserve">2024-Q3</t>
  </si>
  <si>
    <t xml:space="preserve">The team continued incremental investment in the data platform roadmap, consistent with the approved budget.</t>
  </si>
  <si>
    <t xml:space="preserve">consistent, platform, team, budget</t>
  </si>
  <si>
    <t xml:space="preserve">2024-Q4</t>
  </si>
  <si>
    <t xml:space="preserve">Renewal rates softened slightly in the Hardware &amp; IoT segment as several large customers delayed procurement decisions amid budget freezes.</t>
  </si>
  <si>
    <t xml:space="preserve">rates, segment, budget</t>
  </si>
  <si>
    <t xml:space="preserve">2025-Q1</t>
  </si>
  <si>
    <t xml:space="preserve">2025-Q2</t>
  </si>
  <si>
    <t xml:space="preserve">2025-Q3</t>
  </si>
  <si>
    <t xml:space="preserve">The team completed a territory realignment this quarter; early results are inconclusive and we will monitor next quarter.</t>
  </si>
  <si>
    <t xml:space="preserve">quarter, team, completed</t>
  </si>
  <si>
    <t xml:space="preserve">2025-Q4</t>
  </si>
  <si>
    <t xml:space="preserve">Sales cycles lengthened this quarter as budget scrutiny increased among mid-market prospects, pushing several six-figure deals into next quarter.</t>
  </si>
  <si>
    <t xml:space="preserve">quarter, sales, budget</t>
  </si>
  <si>
    <t xml:space="preserve">2026-Q1</t>
  </si>
  <si>
    <t xml:space="preserve">R&amp;D shipped the new analytics module ahead of schedule, and engineering velocity metrics improved following the platform re-architecture completed last quarter.</t>
  </si>
  <si>
    <t xml:space="preserve">following, platform, engineering, completed, ahead</t>
  </si>
  <si>
    <t xml:space="preserve">2026-Q2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</si>
</sst>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2937"/>
      <name val="Arial"/>
      <family val="0"/>
      <charset val="1"/>
    </font>
    <font>
      <sz val="13"/>
      <color rgb="FF444444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0.5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555555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777777"/>
      <rgbColor rgb="FF003366"/>
      <rgbColor rgb="FF339966"/>
      <rgbColor rgb="FF003300"/>
      <rgbColor rgb="FF444444"/>
      <rgbColor rgb="FF993300"/>
      <rgbColor rgb="FF993366"/>
      <rgbColor rgb="FF5555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EBITDA Trend (FY23-FY26)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P&amp;L'!B1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P&amp;L'!$A$2:$A$49</c:f>
              <c:strCache>
                <c:ptCount val="48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  <c:pt idx="24">
                  <c:v>Jan-2025</c:v>
                </c:pt>
                <c:pt idx="25">
                  <c:v>Feb-2025</c:v>
                </c:pt>
                <c:pt idx="26">
                  <c:v>Mar-2025</c:v>
                </c:pt>
                <c:pt idx="27">
                  <c:v>Apr-2025</c:v>
                </c:pt>
                <c:pt idx="28">
                  <c:v>May-2025</c:v>
                </c:pt>
                <c:pt idx="29">
                  <c:v>Jun-2025</c:v>
                </c:pt>
                <c:pt idx="30">
                  <c:v>Jul-2025</c:v>
                </c:pt>
                <c:pt idx="31">
                  <c:v>Aug-2025</c:v>
                </c:pt>
                <c:pt idx="32">
                  <c:v>Sep-2025</c:v>
                </c:pt>
                <c:pt idx="33">
                  <c:v>Oct-2025</c:v>
                </c:pt>
                <c:pt idx="34">
                  <c:v>Nov-2025</c:v>
                </c:pt>
                <c:pt idx="35">
                  <c:v>Dec-2025</c:v>
                </c:pt>
                <c:pt idx="36">
                  <c:v>Jan-2026</c:v>
                </c:pt>
                <c:pt idx="37">
                  <c:v>Feb-2026</c:v>
                </c:pt>
                <c:pt idx="38">
                  <c:v>Mar-2026</c:v>
                </c:pt>
                <c:pt idx="39">
                  <c:v>Apr-2026</c:v>
                </c:pt>
                <c:pt idx="40">
                  <c:v>May-2026</c:v>
                </c:pt>
                <c:pt idx="41">
                  <c:v>Jun-2026</c:v>
                </c:pt>
                <c:pt idx="42">
                  <c:v>Jul-2026</c:v>
                </c:pt>
                <c:pt idx="43">
                  <c:v>Aug-2026</c:v>
                </c:pt>
                <c:pt idx="44">
                  <c:v>Sep-2026</c:v>
                </c:pt>
                <c:pt idx="45">
                  <c:v>Oct-2026</c:v>
                </c:pt>
                <c:pt idx="46">
                  <c:v>Nov-2026</c:v>
                </c:pt>
                <c:pt idx="47">
                  <c:v>Dec-2026</c:v>
                </c:pt>
              </c:strCache>
            </c:strRef>
          </c:cat>
          <c:val>
            <c:numRef>
              <c:f>'Monthly P&amp;L'!$B$2:$B$49</c:f>
              <c:numCache>
                <c:formatCode>\$#,##0;"($"#,##0\);\-</c:formatCode>
                <c:ptCount val="48"/>
                <c:pt idx="0">
                  <c:v>2696525.26</c:v>
                </c:pt>
                <c:pt idx="1">
                  <c:v>2683708.03</c:v>
                </c:pt>
                <c:pt idx="2">
                  <c:v>2776396.13</c:v>
                </c:pt>
                <c:pt idx="3">
                  <c:v>2831027.96</c:v>
                </c:pt>
                <c:pt idx="4">
                  <c:v>2832838.06</c:v>
                </c:pt>
                <c:pt idx="5">
                  <c:v>2986125.25</c:v>
                </c:pt>
                <c:pt idx="6">
                  <c:v>2960780.13</c:v>
                </c:pt>
                <c:pt idx="7">
                  <c:v>2981399.56</c:v>
                </c:pt>
                <c:pt idx="8">
                  <c:v>3132941.69</c:v>
                </c:pt>
                <c:pt idx="9">
                  <c:v>3159434.59</c:v>
                </c:pt>
                <c:pt idx="10">
                  <c:v>3224374.98</c:v>
                </c:pt>
                <c:pt idx="11">
                  <c:v>3348723.55</c:v>
                </c:pt>
                <c:pt idx="12">
                  <c:v>3374319.73</c:v>
                </c:pt>
                <c:pt idx="13">
                  <c:v>3396187.59</c:v>
                </c:pt>
                <c:pt idx="14">
                  <c:v>3497884.37</c:v>
                </c:pt>
                <c:pt idx="15">
                  <c:v>3564305.42</c:v>
                </c:pt>
                <c:pt idx="16">
                  <c:v>3553013.12</c:v>
                </c:pt>
                <c:pt idx="17">
                  <c:v>3747503.25</c:v>
                </c:pt>
                <c:pt idx="18">
                  <c:v>3623127.03</c:v>
                </c:pt>
                <c:pt idx="19">
                  <c:v>3657801.07</c:v>
                </c:pt>
                <c:pt idx="20">
                  <c:v>3946735.03</c:v>
                </c:pt>
                <c:pt idx="21">
                  <c:v>3874182.66</c:v>
                </c:pt>
                <c:pt idx="22">
                  <c:v>4006897.73</c:v>
                </c:pt>
                <c:pt idx="23">
                  <c:v>4070781.23</c:v>
                </c:pt>
                <c:pt idx="24">
                  <c:v>4106460.69</c:v>
                </c:pt>
                <c:pt idx="25">
                  <c:v>4203447.74</c:v>
                </c:pt>
                <c:pt idx="26">
                  <c:v>4169261.71</c:v>
                </c:pt>
                <c:pt idx="27">
                  <c:v>4251004.47</c:v>
                </c:pt>
                <c:pt idx="28">
                  <c:v>4269875.42</c:v>
                </c:pt>
                <c:pt idx="29">
                  <c:v>4386041.65</c:v>
                </c:pt>
                <c:pt idx="30">
                  <c:v>4396419.88</c:v>
                </c:pt>
                <c:pt idx="31">
                  <c:v>4439266.25</c:v>
                </c:pt>
                <c:pt idx="32">
                  <c:v>4535633.42</c:v>
                </c:pt>
                <c:pt idx="33">
                  <c:v>4531766.04</c:v>
                </c:pt>
                <c:pt idx="34">
                  <c:v>4600535.69</c:v>
                </c:pt>
                <c:pt idx="35">
                  <c:v>4646410.86</c:v>
                </c:pt>
                <c:pt idx="36">
                  <c:v>4676557.08</c:v>
                </c:pt>
                <c:pt idx="37">
                  <c:v>4742561.86</c:v>
                </c:pt>
                <c:pt idx="38">
                  <c:v>4767737.15</c:v>
                </c:pt>
                <c:pt idx="39">
                  <c:v>4880418.79</c:v>
                </c:pt>
                <c:pt idx="40">
                  <c:v>4880743.23</c:v>
                </c:pt>
                <c:pt idx="41">
                  <c:v>4915846.84</c:v>
                </c:pt>
                <c:pt idx="42">
                  <c:v>4864742.94</c:v>
                </c:pt>
                <c:pt idx="43">
                  <c:v>4987227.34</c:v>
                </c:pt>
                <c:pt idx="44">
                  <c:v>4972539.44</c:v>
                </c:pt>
                <c:pt idx="45">
                  <c:v>5000264.5</c:v>
                </c:pt>
                <c:pt idx="46">
                  <c:v>5102176.6</c:v>
                </c:pt>
                <c:pt idx="47">
                  <c:v>5284234.22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P&amp;L'!G1</c:f>
              <c:strCache>
                <c:ptCount val="1"/>
                <c:pt idx="0">
                  <c:v>EBITDA (fx)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P&amp;L'!$A$2:$A$49</c:f>
              <c:strCache>
                <c:ptCount val="48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  <c:pt idx="24">
                  <c:v>Jan-2025</c:v>
                </c:pt>
                <c:pt idx="25">
                  <c:v>Feb-2025</c:v>
                </c:pt>
                <c:pt idx="26">
                  <c:v>Mar-2025</c:v>
                </c:pt>
                <c:pt idx="27">
                  <c:v>Apr-2025</c:v>
                </c:pt>
                <c:pt idx="28">
                  <c:v>May-2025</c:v>
                </c:pt>
                <c:pt idx="29">
                  <c:v>Jun-2025</c:v>
                </c:pt>
                <c:pt idx="30">
                  <c:v>Jul-2025</c:v>
                </c:pt>
                <c:pt idx="31">
                  <c:v>Aug-2025</c:v>
                </c:pt>
                <c:pt idx="32">
                  <c:v>Sep-2025</c:v>
                </c:pt>
                <c:pt idx="33">
                  <c:v>Oct-2025</c:v>
                </c:pt>
                <c:pt idx="34">
                  <c:v>Nov-2025</c:v>
                </c:pt>
                <c:pt idx="35">
                  <c:v>Dec-2025</c:v>
                </c:pt>
                <c:pt idx="36">
                  <c:v>Jan-2026</c:v>
                </c:pt>
                <c:pt idx="37">
                  <c:v>Feb-2026</c:v>
                </c:pt>
                <c:pt idx="38">
                  <c:v>Mar-2026</c:v>
                </c:pt>
                <c:pt idx="39">
                  <c:v>Apr-2026</c:v>
                </c:pt>
                <c:pt idx="40">
                  <c:v>May-2026</c:v>
                </c:pt>
                <c:pt idx="41">
                  <c:v>Jun-2026</c:v>
                </c:pt>
                <c:pt idx="42">
                  <c:v>Jul-2026</c:v>
                </c:pt>
                <c:pt idx="43">
                  <c:v>Aug-2026</c:v>
                </c:pt>
                <c:pt idx="44">
                  <c:v>Sep-2026</c:v>
                </c:pt>
                <c:pt idx="45">
                  <c:v>Oct-2026</c:v>
                </c:pt>
                <c:pt idx="46">
                  <c:v>Nov-2026</c:v>
                </c:pt>
                <c:pt idx="47">
                  <c:v>Dec-2026</c:v>
                </c:pt>
              </c:strCache>
            </c:strRef>
          </c:cat>
          <c:val>
            <c:numRef>
              <c:f>'Monthly P&amp;L'!$G$2:$G$49</c:f>
              <c:numCache>
                <c:formatCode>\$#,##0;"($"#,##0\);\-</c:formatCode>
                <c:ptCount val="48"/>
                <c:pt idx="0">
                  <c:v>-43912.0800000003</c:v>
                </c:pt>
                <c:pt idx="1">
                  <c:v>-131256.78</c:v>
                </c:pt>
                <c:pt idx="2">
                  <c:v>-136000.11</c:v>
                </c:pt>
                <c:pt idx="3">
                  <c:v>-56631.4499999997</c:v>
                </c:pt>
                <c:pt idx="4">
                  <c:v>-85925.2699999996</c:v>
                </c:pt>
                <c:pt idx="5">
                  <c:v>120310.01</c:v>
                </c:pt>
                <c:pt idx="6">
                  <c:v>-46965.2200000002</c:v>
                </c:pt>
                <c:pt idx="7">
                  <c:v>-55132.23</c:v>
                </c:pt>
                <c:pt idx="8">
                  <c:v>52442.6299999999</c:v>
                </c:pt>
                <c:pt idx="9">
                  <c:v>64998.8599999999</c:v>
                </c:pt>
                <c:pt idx="10">
                  <c:v>134255.28</c:v>
                </c:pt>
                <c:pt idx="11">
                  <c:v>273857.61</c:v>
                </c:pt>
                <c:pt idx="12">
                  <c:v>254483.67</c:v>
                </c:pt>
                <c:pt idx="13">
                  <c:v>258596.74</c:v>
                </c:pt>
                <c:pt idx="14">
                  <c:v>295291.82</c:v>
                </c:pt>
                <c:pt idx="15">
                  <c:v>246641.96</c:v>
                </c:pt>
                <c:pt idx="16">
                  <c:v>200745.22</c:v>
                </c:pt>
                <c:pt idx="17">
                  <c:v>397322.04</c:v>
                </c:pt>
                <c:pt idx="18">
                  <c:v>230873.55</c:v>
                </c:pt>
                <c:pt idx="19">
                  <c:v>244894.95</c:v>
                </c:pt>
                <c:pt idx="20">
                  <c:v>396225.14</c:v>
                </c:pt>
                <c:pt idx="21">
                  <c:v>336818.7</c:v>
                </c:pt>
                <c:pt idx="22">
                  <c:v>407280.71</c:v>
                </c:pt>
                <c:pt idx="23">
                  <c:v>610895.79</c:v>
                </c:pt>
                <c:pt idx="24">
                  <c:v>494127.36</c:v>
                </c:pt>
                <c:pt idx="25">
                  <c:v>548452.18</c:v>
                </c:pt>
                <c:pt idx="26">
                  <c:v>390821.41</c:v>
                </c:pt>
                <c:pt idx="27">
                  <c:v>346991.25</c:v>
                </c:pt>
                <c:pt idx="28">
                  <c:v>376578.27</c:v>
                </c:pt>
                <c:pt idx="29">
                  <c:v>450619.94</c:v>
                </c:pt>
                <c:pt idx="30">
                  <c:v>413769.97</c:v>
                </c:pt>
                <c:pt idx="31">
                  <c:v>449282.37</c:v>
                </c:pt>
                <c:pt idx="32">
                  <c:v>499903.97</c:v>
                </c:pt>
                <c:pt idx="33">
                  <c:v>346714.2</c:v>
                </c:pt>
                <c:pt idx="34">
                  <c:v>494951.84</c:v>
                </c:pt>
                <c:pt idx="35">
                  <c:v>476383.99</c:v>
                </c:pt>
                <c:pt idx="36">
                  <c:v>391964.04</c:v>
                </c:pt>
                <c:pt idx="37">
                  <c:v>465193.78</c:v>
                </c:pt>
                <c:pt idx="38">
                  <c:v>404251.540000001</c:v>
                </c:pt>
                <c:pt idx="39">
                  <c:v>491073.11</c:v>
                </c:pt>
                <c:pt idx="40">
                  <c:v>375190.26</c:v>
                </c:pt>
                <c:pt idx="41">
                  <c:v>390983.49</c:v>
                </c:pt>
                <c:pt idx="42">
                  <c:v>358381.420000001</c:v>
                </c:pt>
                <c:pt idx="43">
                  <c:v>199653.51</c:v>
                </c:pt>
                <c:pt idx="44">
                  <c:v>213161.73</c:v>
                </c:pt>
                <c:pt idx="45">
                  <c:v>244956.81</c:v>
                </c:pt>
                <c:pt idx="46">
                  <c:v>201051.129999999</c:v>
                </c:pt>
                <c:pt idx="47">
                  <c:v>517401.24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675205"/>
        <c:axId val="66140699"/>
      </c:lineChart>
      <c:catAx>
        <c:axId val="656752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40699"/>
        <c:crosses val="autoZero"/>
        <c:auto val="1"/>
        <c:lblAlgn val="ctr"/>
        <c:lblOffset val="100"/>
        <c:noMultiLvlLbl val="0"/>
      </c:catAx>
      <c:valAx>
        <c:axId val="661406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752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190440</xdr:rowOff>
    </xdr:from>
    <xdr:to>
      <xdr:col>23</xdr:col>
      <xdr:colOff>78480</xdr:colOff>
      <xdr:row>19</xdr:row>
      <xdr:rowOff>20160</xdr:rowOff>
    </xdr:to>
    <xdr:graphicFrame>
      <xdr:nvGraphicFramePr>
        <xdr:cNvPr id="0" name="Chart 1"/>
        <xdr:cNvGraphicFramePr/>
      </xdr:nvGraphicFramePr>
      <xdr:xfrm>
        <a:off x="921060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90"/>
  </cols>
  <sheetData>
    <row r="2" customFormat="false" ht="26.8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  <c r="C7" s="5" t="s">
        <v>4</v>
      </c>
    </row>
    <row r="8" customFormat="false" ht="15" hidden="false" customHeight="false" outlineLevel="0" collapsed="false">
      <c r="B8" s="4" t="s">
        <v>5</v>
      </c>
      <c r="C8" s="5" t="s">
        <v>6</v>
      </c>
    </row>
    <row r="9" customFormat="false" ht="15" hidden="false" customHeight="false" outlineLevel="0" collapsed="false">
      <c r="B9" s="4" t="s">
        <v>7</v>
      </c>
      <c r="C9" s="5" t="s">
        <v>8</v>
      </c>
    </row>
    <row r="10" customFormat="false" ht="15" hidden="false" customHeight="false" outlineLevel="0" collapsed="false">
      <c r="B10" s="4" t="s">
        <v>9</v>
      </c>
      <c r="C10" s="5" t="s">
        <v>10</v>
      </c>
    </row>
    <row r="11" customFormat="false" ht="15" hidden="false" customHeight="false" outlineLevel="0" collapsed="false">
      <c r="B11" s="4" t="s">
        <v>11</v>
      </c>
      <c r="C11" s="5" t="s">
        <v>12</v>
      </c>
    </row>
    <row r="12" customFormat="false" ht="15" hidden="false" customHeight="false" outlineLevel="0" collapsed="false">
      <c r="B12" s="4" t="s">
        <v>13</v>
      </c>
      <c r="C12" s="5" t="s">
        <v>14</v>
      </c>
    </row>
    <row r="13" customFormat="false" ht="15" hidden="false" customHeight="false" outlineLevel="0" collapsed="false">
      <c r="B13" s="4" t="s">
        <v>15</v>
      </c>
      <c r="C13" s="5" t="s">
        <v>16</v>
      </c>
    </row>
    <row r="14" customFormat="false" ht="15" hidden="false" customHeight="false" outlineLevel="0" collapsed="false">
      <c r="B14" s="4" t="s">
        <v>17</v>
      </c>
      <c r="C14" s="5" t="s">
        <v>18</v>
      </c>
    </row>
    <row r="16" customFormat="false" ht="15" hidden="false" customHeight="false" outlineLevel="0" collapsed="false">
      <c r="B16" s="6" t="s">
        <v>19</v>
      </c>
    </row>
    <row r="17" customFormat="false" ht="15" hidden="false" customHeight="false" outlineLevel="0" collapsed="false">
      <c r="B17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26.85" hidden="false" customHeight="false" outlineLevel="0" collapsed="false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</row>
    <row r="2" customFormat="false" ht="15" hidden="false" customHeight="false" outlineLevel="0" collapsed="false">
      <c r="A2" s="8" t="s">
        <v>29</v>
      </c>
      <c r="B2" s="9" t="n">
        <v>2696525.26</v>
      </c>
      <c r="C2" s="9" t="n">
        <v>686114.72</v>
      </c>
      <c r="D2" s="10" t="n">
        <f aca="false">B2-C2</f>
        <v>2010410.54</v>
      </c>
      <c r="E2" s="11" t="n">
        <f aca="false">IFERROR(D2/B2,0)</f>
        <v>0.745555982664891</v>
      </c>
      <c r="F2" s="9" t="n">
        <v>2054322.62</v>
      </c>
      <c r="G2" s="10" t="n">
        <f aca="false">D2-F2</f>
        <v>-43912.0800000003</v>
      </c>
      <c r="H2" s="11" t="n">
        <f aca="false">IFERROR(G2/B2,0)</f>
        <v>-0.0162846907653297</v>
      </c>
    </row>
    <row r="3" customFormat="false" ht="15" hidden="false" customHeight="false" outlineLevel="0" collapsed="false">
      <c r="A3" s="8" t="s">
        <v>30</v>
      </c>
      <c r="B3" s="9" t="n">
        <v>2683708.03</v>
      </c>
      <c r="C3" s="9" t="n">
        <v>726109.62</v>
      </c>
      <c r="D3" s="10" t="n">
        <f aca="false">B3-C3</f>
        <v>1957598.41</v>
      </c>
      <c r="E3" s="11" t="n">
        <f aca="false">IFERROR(D3/B3,0)</f>
        <v>0.729437922500087</v>
      </c>
      <c r="F3" s="9" t="n">
        <v>2088855.19</v>
      </c>
      <c r="G3" s="10" t="n">
        <f aca="false">D3-F3</f>
        <v>-131256.78</v>
      </c>
      <c r="H3" s="11" t="n">
        <f aca="false">IFERROR(G3/B3,0)</f>
        <v>-0.0489087406426996</v>
      </c>
    </row>
    <row r="4" customFormat="false" ht="15" hidden="false" customHeight="false" outlineLevel="0" collapsed="false">
      <c r="A4" s="8" t="s">
        <v>31</v>
      </c>
      <c r="B4" s="9" t="n">
        <v>2776396.13</v>
      </c>
      <c r="C4" s="9" t="n">
        <v>830950.99</v>
      </c>
      <c r="D4" s="10" t="n">
        <f aca="false">B4-C4</f>
        <v>1945445.14</v>
      </c>
      <c r="E4" s="11" t="n">
        <f aca="false">IFERROR(D4/B4,0)</f>
        <v>0.700708778181448</v>
      </c>
      <c r="F4" s="9" t="n">
        <v>2081445.25</v>
      </c>
      <c r="G4" s="10" t="n">
        <f aca="false">D4-F4</f>
        <v>-136000.11</v>
      </c>
      <c r="H4" s="11" t="n">
        <f aca="false">IFERROR(G4/B4,0)</f>
        <v>-0.0489844041095102</v>
      </c>
    </row>
    <row r="5" customFormat="false" ht="15" hidden="false" customHeight="false" outlineLevel="0" collapsed="false">
      <c r="A5" s="8" t="s">
        <v>32</v>
      </c>
      <c r="B5" s="9" t="n">
        <v>2831027.96</v>
      </c>
      <c r="C5" s="9" t="n">
        <v>761296.9</v>
      </c>
      <c r="D5" s="10" t="n">
        <f aca="false">B5-C5</f>
        <v>2069731.06</v>
      </c>
      <c r="E5" s="11" t="n">
        <f aca="false">IFERROR(D5/B5,0)</f>
        <v>0.731088173357355</v>
      </c>
      <c r="F5" s="9" t="n">
        <v>2126362.51</v>
      </c>
      <c r="G5" s="10" t="n">
        <f aca="false">D5-F5</f>
        <v>-56631.4499999997</v>
      </c>
      <c r="H5" s="11" t="n">
        <f aca="false">IFERROR(G5/B5,0)</f>
        <v>-0.0200038469418719</v>
      </c>
    </row>
    <row r="6" customFormat="false" ht="15" hidden="false" customHeight="false" outlineLevel="0" collapsed="false">
      <c r="A6" s="8" t="s">
        <v>33</v>
      </c>
      <c r="B6" s="9" t="n">
        <v>2832838.06</v>
      </c>
      <c r="C6" s="9" t="n">
        <v>760560.57</v>
      </c>
      <c r="D6" s="10" t="n">
        <f aca="false">B6-C6</f>
        <v>2072277.49</v>
      </c>
      <c r="E6" s="11" t="n">
        <f aca="false">IFERROR(D6/B6,0)</f>
        <v>0.731519926698528</v>
      </c>
      <c r="F6" s="9" t="n">
        <v>2158202.76</v>
      </c>
      <c r="G6" s="10" t="n">
        <f aca="false">D6-F6</f>
        <v>-85925.2699999996</v>
      </c>
      <c r="H6" s="11" t="n">
        <f aca="false">IFERROR(G6/B6,0)</f>
        <v>-0.030331867964242</v>
      </c>
    </row>
    <row r="7" customFormat="false" ht="15" hidden="false" customHeight="false" outlineLevel="0" collapsed="false">
      <c r="A7" s="8" t="s">
        <v>34</v>
      </c>
      <c r="B7" s="9" t="n">
        <v>2986125.25</v>
      </c>
      <c r="C7" s="9" t="n">
        <v>686843.91</v>
      </c>
      <c r="D7" s="10" t="n">
        <f aca="false">B7-C7</f>
        <v>2299281.34</v>
      </c>
      <c r="E7" s="11" t="n">
        <f aca="false">IFERROR(D7/B7,0)</f>
        <v>0.769988244799846</v>
      </c>
      <c r="F7" s="9" t="n">
        <v>2178971.33</v>
      </c>
      <c r="G7" s="10" t="n">
        <f aca="false">D7-F7</f>
        <v>120310.01</v>
      </c>
      <c r="H7" s="11" t="n">
        <f aca="false">IFERROR(G7/B7,0)</f>
        <v>0.0402896730470364</v>
      </c>
    </row>
    <row r="8" customFormat="false" ht="15" hidden="false" customHeight="false" outlineLevel="0" collapsed="false">
      <c r="A8" s="8" t="s">
        <v>35</v>
      </c>
      <c r="B8" s="9" t="n">
        <v>2960780.13</v>
      </c>
      <c r="C8" s="9" t="n">
        <v>798989.21</v>
      </c>
      <c r="D8" s="10" t="n">
        <f aca="false">B8-C8</f>
        <v>2161790.92</v>
      </c>
      <c r="E8" s="11" t="n">
        <f aca="false">IFERROR(D8/B8,0)</f>
        <v>0.730142335830929</v>
      </c>
      <c r="F8" s="9" t="n">
        <v>2208756.14</v>
      </c>
      <c r="G8" s="10" t="n">
        <f aca="false">D8-F8</f>
        <v>-46965.2200000002</v>
      </c>
      <c r="H8" s="11" t="n">
        <f aca="false">IFERROR(G8/B8,0)</f>
        <v>-0.0158624477123873</v>
      </c>
    </row>
    <row r="9" customFormat="false" ht="15" hidden="false" customHeight="false" outlineLevel="0" collapsed="false">
      <c r="A9" s="8" t="s">
        <v>36</v>
      </c>
      <c r="B9" s="9" t="n">
        <v>2981399.56</v>
      </c>
      <c r="C9" s="9" t="n">
        <v>771557.06</v>
      </c>
      <c r="D9" s="10" t="n">
        <f aca="false">B9-C9</f>
        <v>2209842.5</v>
      </c>
      <c r="E9" s="11" t="n">
        <f aca="false">IFERROR(D9/B9,0)</f>
        <v>0.741209775988563</v>
      </c>
      <c r="F9" s="9" t="n">
        <v>2264974.73</v>
      </c>
      <c r="G9" s="10" t="n">
        <f aca="false">D9-F9</f>
        <v>-55132.23</v>
      </c>
      <c r="H9" s="11" t="n">
        <f aca="false">IFERROR(G9/B9,0)</f>
        <v>-0.0184920635059059</v>
      </c>
    </row>
    <row r="10" customFormat="false" ht="15" hidden="false" customHeight="false" outlineLevel="0" collapsed="false">
      <c r="A10" s="8" t="s">
        <v>37</v>
      </c>
      <c r="B10" s="9" t="n">
        <v>3132941.69</v>
      </c>
      <c r="C10" s="9" t="n">
        <v>780650.81</v>
      </c>
      <c r="D10" s="10" t="n">
        <f aca="false">B10-C10</f>
        <v>2352290.88</v>
      </c>
      <c r="E10" s="11" t="n">
        <f aca="false">IFERROR(D10/B10,0)</f>
        <v>0.750824979446075</v>
      </c>
      <c r="F10" s="9" t="n">
        <v>2299848.25</v>
      </c>
      <c r="G10" s="10" t="n">
        <f aca="false">D10-F10</f>
        <v>52442.6299999999</v>
      </c>
      <c r="H10" s="11" t="n">
        <f aca="false">IFERROR(G10/B10,0)</f>
        <v>0.0167391018375449</v>
      </c>
    </row>
    <row r="11" customFormat="false" ht="15" hidden="false" customHeight="false" outlineLevel="0" collapsed="false">
      <c r="A11" s="8" t="s">
        <v>38</v>
      </c>
      <c r="B11" s="9" t="n">
        <v>3159434.59</v>
      </c>
      <c r="C11" s="9" t="n">
        <v>831734.39</v>
      </c>
      <c r="D11" s="10" t="n">
        <f aca="false">B11-C11</f>
        <v>2327700.2</v>
      </c>
      <c r="E11" s="11" t="n">
        <f aca="false">IFERROR(D11/B11,0)</f>
        <v>0.736745811218076</v>
      </c>
      <c r="F11" s="9" t="n">
        <v>2262701.34</v>
      </c>
      <c r="G11" s="10" t="n">
        <f aca="false">D11-F11</f>
        <v>64998.8599999999</v>
      </c>
      <c r="H11" s="11" t="n">
        <f aca="false">IFERROR(G11/B11,0)</f>
        <v>0.0205729405526322</v>
      </c>
    </row>
    <row r="12" customFormat="false" ht="15" hidden="false" customHeight="false" outlineLevel="0" collapsed="false">
      <c r="A12" s="8" t="s">
        <v>39</v>
      </c>
      <c r="B12" s="9" t="n">
        <v>3224374.98</v>
      </c>
      <c r="C12" s="9" t="n">
        <v>777680.46</v>
      </c>
      <c r="D12" s="10" t="n">
        <f aca="false">B12-C12</f>
        <v>2446694.52</v>
      </c>
      <c r="E12" s="11" t="n">
        <f aca="false">IFERROR(D12/B12,0)</f>
        <v>0.758812028742389</v>
      </c>
      <c r="F12" s="9" t="n">
        <v>2312439.24</v>
      </c>
      <c r="G12" s="10" t="n">
        <f aca="false">D12-F12</f>
        <v>134255.28</v>
      </c>
      <c r="H12" s="11" t="n">
        <f aca="false">IFERROR(G12/B12,0)</f>
        <v>0.0416376137492544</v>
      </c>
    </row>
    <row r="13" customFormat="false" ht="15" hidden="false" customHeight="false" outlineLevel="0" collapsed="false">
      <c r="A13" s="8" t="s">
        <v>40</v>
      </c>
      <c r="B13" s="9" t="n">
        <v>3348723.55</v>
      </c>
      <c r="C13" s="9" t="n">
        <v>780775.39</v>
      </c>
      <c r="D13" s="10" t="n">
        <f aca="false">B13-C13</f>
        <v>2567948.16</v>
      </c>
      <c r="E13" s="11" t="n">
        <f aca="false">IFERROR(D13/B13,0)</f>
        <v>0.766843879961366</v>
      </c>
      <c r="F13" s="9" t="n">
        <v>2294090.55</v>
      </c>
      <c r="G13" s="10" t="n">
        <f aca="false">D13-F13</f>
        <v>273857.61</v>
      </c>
      <c r="H13" s="11" t="n">
        <f aca="false">IFERROR(G13/B13,0)</f>
        <v>0.0817797008056995</v>
      </c>
    </row>
    <row r="14" customFormat="false" ht="15" hidden="false" customHeight="false" outlineLevel="0" collapsed="false">
      <c r="A14" s="8" t="s">
        <v>41</v>
      </c>
      <c r="B14" s="9" t="n">
        <v>3374319.73</v>
      </c>
      <c r="C14" s="9" t="n">
        <v>783355.57</v>
      </c>
      <c r="D14" s="10" t="n">
        <f aca="false">B14-C14</f>
        <v>2590964.16</v>
      </c>
      <c r="E14" s="11" t="n">
        <f aca="false">IFERROR(D14/B14,0)</f>
        <v>0.767847852995247</v>
      </c>
      <c r="F14" s="9" t="n">
        <v>2336480.49</v>
      </c>
      <c r="G14" s="10" t="n">
        <f aca="false">D14-F14</f>
        <v>254483.67</v>
      </c>
      <c r="H14" s="11" t="n">
        <f aca="false">IFERROR(G14/B14,0)</f>
        <v>0.0754177702063817</v>
      </c>
    </row>
    <row r="15" customFormat="false" ht="15" hidden="false" customHeight="false" outlineLevel="0" collapsed="false">
      <c r="A15" s="8" t="s">
        <v>42</v>
      </c>
      <c r="B15" s="9" t="n">
        <v>3396187.59</v>
      </c>
      <c r="C15" s="9" t="n">
        <v>803392.72</v>
      </c>
      <c r="D15" s="10" t="n">
        <f aca="false">B15-C15</f>
        <v>2592794.87</v>
      </c>
      <c r="E15" s="11" t="n">
        <f aca="false">IFERROR(D15/B15,0)</f>
        <v>0.763442772606092</v>
      </c>
      <c r="F15" s="9" t="n">
        <v>2334198.13</v>
      </c>
      <c r="G15" s="10" t="n">
        <f aca="false">D15-F15</f>
        <v>258596.74</v>
      </c>
      <c r="H15" s="11" t="n">
        <f aca="false">IFERROR(G15/B15,0)</f>
        <v>0.0761432439013183</v>
      </c>
    </row>
    <row r="16" customFormat="false" ht="15" hidden="false" customHeight="false" outlineLevel="0" collapsed="false">
      <c r="A16" s="8" t="s">
        <v>43</v>
      </c>
      <c r="B16" s="9" t="n">
        <v>3497884.37</v>
      </c>
      <c r="C16" s="9" t="n">
        <v>802705.79</v>
      </c>
      <c r="D16" s="10" t="n">
        <f aca="false">B16-C16</f>
        <v>2695178.58</v>
      </c>
      <c r="E16" s="11" t="n">
        <f aca="false">IFERROR(D16/B16,0)</f>
        <v>0.770516773829205</v>
      </c>
      <c r="F16" s="9" t="n">
        <v>2399886.76</v>
      </c>
      <c r="G16" s="10" t="n">
        <f aca="false">D16-F16</f>
        <v>295291.82</v>
      </c>
      <c r="H16" s="11" t="n">
        <f aca="false">IFERROR(G16/B16,0)</f>
        <v>0.0844201204970078</v>
      </c>
    </row>
    <row r="17" customFormat="false" ht="15" hidden="false" customHeight="false" outlineLevel="0" collapsed="false">
      <c r="A17" s="8" t="s">
        <v>44</v>
      </c>
      <c r="B17" s="9" t="n">
        <v>3564305.42</v>
      </c>
      <c r="C17" s="9" t="n">
        <v>891848.52</v>
      </c>
      <c r="D17" s="10" t="n">
        <f aca="false">B17-C17</f>
        <v>2672456.9</v>
      </c>
      <c r="E17" s="11" t="n">
        <f aca="false">IFERROR(D17/B17,0)</f>
        <v>0.749783361718761</v>
      </c>
      <c r="F17" s="9" t="n">
        <v>2425814.94</v>
      </c>
      <c r="G17" s="10" t="n">
        <f aca="false">D17-F17</f>
        <v>246641.96</v>
      </c>
      <c r="H17" s="11" t="n">
        <f aca="false">IFERROR(G17/B17,0)</f>
        <v>0.0691977625194644</v>
      </c>
    </row>
    <row r="18" customFormat="false" ht="15" hidden="false" customHeight="false" outlineLevel="0" collapsed="false">
      <c r="A18" s="8" t="s">
        <v>45</v>
      </c>
      <c r="B18" s="9" t="n">
        <v>3553013.12</v>
      </c>
      <c r="C18" s="9" t="n">
        <v>901817.07</v>
      </c>
      <c r="D18" s="10" t="n">
        <f aca="false">B18-C18</f>
        <v>2651196.05</v>
      </c>
      <c r="E18" s="11" t="n">
        <f aca="false">IFERROR(D18/B18,0)</f>
        <v>0.746182454288264</v>
      </c>
      <c r="F18" s="9" t="n">
        <v>2450450.83</v>
      </c>
      <c r="G18" s="10" t="n">
        <f aca="false">D18-F18</f>
        <v>200745.22</v>
      </c>
      <c r="H18" s="11" t="n">
        <f aca="false">IFERROR(G18/B18,0)</f>
        <v>0.0564999940107174</v>
      </c>
    </row>
    <row r="19" customFormat="false" ht="15" hidden="false" customHeight="false" outlineLevel="0" collapsed="false">
      <c r="A19" s="8" t="s">
        <v>46</v>
      </c>
      <c r="B19" s="9" t="n">
        <v>3747503.25</v>
      </c>
      <c r="C19" s="9" t="n">
        <v>876587.9</v>
      </c>
      <c r="D19" s="10" t="n">
        <f aca="false">B19-C19</f>
        <v>2870915.35</v>
      </c>
      <c r="E19" s="11" t="n">
        <f aca="false">IFERROR(D19/B19,0)</f>
        <v>0.766087487715988</v>
      </c>
      <c r="F19" s="9" t="n">
        <v>2473593.31</v>
      </c>
      <c r="G19" s="10" t="n">
        <f aca="false">D19-F19</f>
        <v>397322.04</v>
      </c>
      <c r="H19" s="11" t="n">
        <f aca="false">IFERROR(G19/B19,0)</f>
        <v>0.106023134202752</v>
      </c>
    </row>
    <row r="20" customFormat="false" ht="15" hidden="false" customHeight="false" outlineLevel="0" collapsed="false">
      <c r="A20" s="8" t="s">
        <v>47</v>
      </c>
      <c r="B20" s="9" t="n">
        <v>3623127.03</v>
      </c>
      <c r="C20" s="9" t="n">
        <v>879795.22</v>
      </c>
      <c r="D20" s="10" t="n">
        <f aca="false">B20-C20</f>
        <v>2743331.81</v>
      </c>
      <c r="E20" s="11" t="n">
        <f aca="false">IFERROR(D20/B20,0)</f>
        <v>0.757172405848547</v>
      </c>
      <c r="F20" s="9" t="n">
        <v>2512458.26</v>
      </c>
      <c r="G20" s="10" t="n">
        <f aca="false">D20-F20</f>
        <v>230873.55</v>
      </c>
      <c r="H20" s="11" t="n">
        <f aca="false">IFERROR(G20/B20,0)</f>
        <v>0.063722179235874</v>
      </c>
    </row>
    <row r="21" customFormat="false" ht="15" hidden="false" customHeight="false" outlineLevel="0" collapsed="false">
      <c r="A21" s="8" t="s">
        <v>48</v>
      </c>
      <c r="B21" s="9" t="n">
        <v>3657801.07</v>
      </c>
      <c r="C21" s="9" t="n">
        <v>877649.27</v>
      </c>
      <c r="D21" s="10" t="n">
        <f aca="false">B21-C21</f>
        <v>2780151.8</v>
      </c>
      <c r="E21" s="11" t="n">
        <f aca="false">IFERROR(D21/B21,0)</f>
        <v>0.760060961981183</v>
      </c>
      <c r="F21" s="9" t="n">
        <v>2535256.85</v>
      </c>
      <c r="G21" s="10" t="n">
        <f aca="false">D21-F21</f>
        <v>244894.95</v>
      </c>
      <c r="H21" s="11" t="n">
        <f aca="false">IFERROR(G21/B21,0)</f>
        <v>0.066951412970088</v>
      </c>
    </row>
    <row r="22" customFormat="false" ht="15" hidden="false" customHeight="false" outlineLevel="0" collapsed="false">
      <c r="A22" s="8" t="s">
        <v>49</v>
      </c>
      <c r="B22" s="9" t="n">
        <v>3946735.03</v>
      </c>
      <c r="C22" s="9" t="n">
        <v>981237.32</v>
      </c>
      <c r="D22" s="10" t="n">
        <f aca="false">B22-C22</f>
        <v>2965497.71</v>
      </c>
      <c r="E22" s="11" t="n">
        <f aca="false">IFERROR(D22/B22,0)</f>
        <v>0.751379985597868</v>
      </c>
      <c r="F22" s="9" t="n">
        <v>2569272.57</v>
      </c>
      <c r="G22" s="10" t="n">
        <f aca="false">D22-F22</f>
        <v>396225.14</v>
      </c>
      <c r="H22" s="11" t="n">
        <f aca="false">IFERROR(G22/B22,0)</f>
        <v>0.100393144456926</v>
      </c>
    </row>
    <row r="23" customFormat="false" ht="15" hidden="false" customHeight="false" outlineLevel="0" collapsed="false">
      <c r="A23" s="8" t="s">
        <v>50</v>
      </c>
      <c r="B23" s="9" t="n">
        <v>3874182.66</v>
      </c>
      <c r="C23" s="9" t="n">
        <v>929149.39</v>
      </c>
      <c r="D23" s="10" t="n">
        <f aca="false">B23-C23</f>
        <v>2945033.27</v>
      </c>
      <c r="E23" s="11" t="n">
        <f aca="false">IFERROR(D23/B23,0)</f>
        <v>0.760168925540542</v>
      </c>
      <c r="F23" s="9" t="n">
        <v>2608214.57</v>
      </c>
      <c r="G23" s="10" t="n">
        <f aca="false">D23-F23</f>
        <v>336818.7</v>
      </c>
      <c r="H23" s="11" t="n">
        <f aca="false">IFERROR(G23/B23,0)</f>
        <v>0.086939292635211</v>
      </c>
    </row>
    <row r="24" customFormat="false" ht="15" hidden="false" customHeight="false" outlineLevel="0" collapsed="false">
      <c r="A24" s="8" t="s">
        <v>51</v>
      </c>
      <c r="B24" s="9" t="n">
        <v>4006897.73</v>
      </c>
      <c r="C24" s="9" t="n">
        <v>943227.83</v>
      </c>
      <c r="D24" s="10" t="n">
        <f aca="false">B24-C24</f>
        <v>3063669.9</v>
      </c>
      <c r="E24" s="11" t="n">
        <f aca="false">IFERROR(D24/B24,0)</f>
        <v>0.764598975676876</v>
      </c>
      <c r="F24" s="9" t="n">
        <v>2656389.19</v>
      </c>
      <c r="G24" s="10" t="n">
        <f aca="false">D24-F24</f>
        <v>407280.71</v>
      </c>
      <c r="H24" s="11" t="n">
        <f aca="false">IFERROR(G24/B24,0)</f>
        <v>0.101644897734887</v>
      </c>
    </row>
    <row r="25" customFormat="false" ht="15" hidden="false" customHeight="false" outlineLevel="0" collapsed="false">
      <c r="A25" s="8" t="s">
        <v>52</v>
      </c>
      <c r="B25" s="9" t="n">
        <v>4070781.23</v>
      </c>
      <c r="C25" s="9" t="n">
        <v>807695.87</v>
      </c>
      <c r="D25" s="10" t="n">
        <f aca="false">B25-C25</f>
        <v>3263085.36</v>
      </c>
      <c r="E25" s="11" t="n">
        <f aca="false">IFERROR(D25/B25,0)</f>
        <v>0.801587011346223</v>
      </c>
      <c r="F25" s="9" t="n">
        <v>2652189.57</v>
      </c>
      <c r="G25" s="10" t="n">
        <f aca="false">D25-F25</f>
        <v>610895.79</v>
      </c>
      <c r="H25" s="11" t="n">
        <f aca="false">IFERROR(G25/B25,0)</f>
        <v>0.150068440302797</v>
      </c>
    </row>
    <row r="26" customFormat="false" ht="15" hidden="false" customHeight="false" outlineLevel="0" collapsed="false">
      <c r="A26" s="8" t="s">
        <v>53</v>
      </c>
      <c r="B26" s="9" t="n">
        <v>4106460.69</v>
      </c>
      <c r="C26" s="9" t="n">
        <v>930444.9</v>
      </c>
      <c r="D26" s="10" t="n">
        <f aca="false">B26-C26</f>
        <v>3176015.79</v>
      </c>
      <c r="E26" s="11" t="n">
        <f aca="false">IFERROR(D26/B26,0)</f>
        <v>0.773419260467826</v>
      </c>
      <c r="F26" s="9" t="n">
        <v>2681888.43</v>
      </c>
      <c r="G26" s="10" t="n">
        <f aca="false">D26-F26</f>
        <v>494127.36</v>
      </c>
      <c r="H26" s="11" t="n">
        <f aca="false">IFERROR(G26/B26,0)</f>
        <v>0.120329256092307</v>
      </c>
    </row>
    <row r="27" customFormat="false" ht="15" hidden="false" customHeight="false" outlineLevel="0" collapsed="false">
      <c r="A27" s="8" t="s">
        <v>54</v>
      </c>
      <c r="B27" s="9" t="n">
        <v>4203447.74</v>
      </c>
      <c r="C27" s="9" t="n">
        <v>958897.56</v>
      </c>
      <c r="D27" s="10" t="n">
        <f aca="false">B27-C27</f>
        <v>3244550.18</v>
      </c>
      <c r="E27" s="11" t="n">
        <f aca="false">IFERROR(D27/B27,0)</f>
        <v>0.771878320057335</v>
      </c>
      <c r="F27" s="9" t="n">
        <v>2696098</v>
      </c>
      <c r="G27" s="10" t="n">
        <f aca="false">D27-F27</f>
        <v>548452.18</v>
      </c>
      <c r="H27" s="11" t="n">
        <f aca="false">IFERROR(G27/B27,0)</f>
        <v>0.130476745263401</v>
      </c>
    </row>
    <row r="28" customFormat="false" ht="15" hidden="false" customHeight="false" outlineLevel="0" collapsed="false">
      <c r="A28" s="8" t="s">
        <v>55</v>
      </c>
      <c r="B28" s="9" t="n">
        <v>4169261.71</v>
      </c>
      <c r="C28" s="9" t="n">
        <v>1008183.44</v>
      </c>
      <c r="D28" s="10" t="n">
        <f aca="false">B28-C28</f>
        <v>3161078.27</v>
      </c>
      <c r="E28" s="11" t="n">
        <f aca="false">IFERROR(D28/B28,0)</f>
        <v>0.758186578313886</v>
      </c>
      <c r="F28" s="9" t="n">
        <v>2770256.86</v>
      </c>
      <c r="G28" s="10" t="n">
        <f aca="false">D28-F28</f>
        <v>390821.41</v>
      </c>
      <c r="H28" s="11" t="n">
        <f aca="false">IFERROR(G28/B28,0)</f>
        <v>0.0937387569273026</v>
      </c>
    </row>
    <row r="29" customFormat="false" ht="15" hidden="false" customHeight="false" outlineLevel="0" collapsed="false">
      <c r="A29" s="8" t="s">
        <v>56</v>
      </c>
      <c r="B29" s="9" t="n">
        <v>4251004.47</v>
      </c>
      <c r="C29" s="9" t="n">
        <v>1073185.71</v>
      </c>
      <c r="D29" s="10" t="n">
        <f aca="false">B29-C29</f>
        <v>3177818.76</v>
      </c>
      <c r="E29" s="11" t="n">
        <f aca="false">IFERROR(D29/B29,0)</f>
        <v>0.747545381903586</v>
      </c>
      <c r="F29" s="9" t="n">
        <v>2830827.51</v>
      </c>
      <c r="G29" s="10" t="n">
        <f aca="false">D29-F29</f>
        <v>346991.25</v>
      </c>
      <c r="H29" s="11" t="n">
        <f aca="false">IFERROR(G29/B29,0)</f>
        <v>0.0816257080999964</v>
      </c>
    </row>
    <row r="30" customFormat="false" ht="15" hidden="false" customHeight="false" outlineLevel="0" collapsed="false">
      <c r="A30" s="8" t="s">
        <v>57</v>
      </c>
      <c r="B30" s="9" t="n">
        <v>4269875.42</v>
      </c>
      <c r="C30" s="9" t="n">
        <v>1034274.69</v>
      </c>
      <c r="D30" s="10" t="n">
        <f aca="false">B30-C30</f>
        <v>3235600.73</v>
      </c>
      <c r="E30" s="11" t="n">
        <f aca="false">IFERROR(D30/B30,0)</f>
        <v>0.757774035945995</v>
      </c>
      <c r="F30" s="9" t="n">
        <v>2859022.46</v>
      </c>
      <c r="G30" s="10" t="n">
        <f aca="false">D30-F30</f>
        <v>376578.27</v>
      </c>
      <c r="H30" s="11" t="n">
        <f aca="false">IFERROR(G30/B30,0)</f>
        <v>0.0881942054412445</v>
      </c>
    </row>
    <row r="31" customFormat="false" ht="15" hidden="false" customHeight="false" outlineLevel="0" collapsed="false">
      <c r="A31" s="8" t="s">
        <v>58</v>
      </c>
      <c r="B31" s="9" t="n">
        <v>4386041.65</v>
      </c>
      <c r="C31" s="9" t="n">
        <v>1074815.75</v>
      </c>
      <c r="D31" s="10" t="n">
        <f aca="false">B31-C31</f>
        <v>3311225.9</v>
      </c>
      <c r="E31" s="11" t="n">
        <f aca="false">IFERROR(D31/B31,0)</f>
        <v>0.754946296508607</v>
      </c>
      <c r="F31" s="9" t="n">
        <v>2860605.96</v>
      </c>
      <c r="G31" s="10" t="n">
        <f aca="false">D31-F31</f>
        <v>450619.94</v>
      </c>
      <c r="H31" s="11" t="n">
        <f aca="false">IFERROR(G31/B31,0)</f>
        <v>0.102739548768307</v>
      </c>
    </row>
    <row r="32" customFormat="false" ht="15" hidden="false" customHeight="false" outlineLevel="0" collapsed="false">
      <c r="A32" s="8" t="s">
        <v>59</v>
      </c>
      <c r="B32" s="9" t="n">
        <v>4396419.88</v>
      </c>
      <c r="C32" s="9" t="n">
        <v>1071556.4</v>
      </c>
      <c r="D32" s="10" t="n">
        <f aca="false">B32-C32</f>
        <v>3324863.48</v>
      </c>
      <c r="E32" s="11" t="n">
        <f aca="false">IFERROR(D32/B32,0)</f>
        <v>0.756266137164315</v>
      </c>
      <c r="F32" s="9" t="n">
        <v>2911093.51</v>
      </c>
      <c r="G32" s="10" t="n">
        <f aca="false">D32-F32</f>
        <v>413769.97</v>
      </c>
      <c r="H32" s="11" t="n">
        <f aca="false">IFERROR(G32/B32,0)</f>
        <v>0.0941152076675625</v>
      </c>
    </row>
    <row r="33" customFormat="false" ht="15" hidden="false" customHeight="false" outlineLevel="0" collapsed="false">
      <c r="A33" s="8" t="s">
        <v>60</v>
      </c>
      <c r="B33" s="9" t="n">
        <v>4439266.25</v>
      </c>
      <c r="C33" s="9" t="n">
        <v>1043257.43</v>
      </c>
      <c r="D33" s="10" t="n">
        <f aca="false">B33-C33</f>
        <v>3396008.82</v>
      </c>
      <c r="E33" s="11" t="n">
        <f aca="false">IFERROR(D33/B33,0)</f>
        <v>0.764993273381609</v>
      </c>
      <c r="F33" s="9" t="n">
        <v>2946726.45</v>
      </c>
      <c r="G33" s="10" t="n">
        <f aca="false">D33-F33</f>
        <v>449282.37</v>
      </c>
      <c r="H33" s="11" t="n">
        <f aca="false">IFERROR(G33/B33,0)</f>
        <v>0.101206448250316</v>
      </c>
    </row>
    <row r="34" customFormat="false" ht="15" hidden="false" customHeight="false" outlineLevel="0" collapsed="false">
      <c r="A34" s="8" t="s">
        <v>61</v>
      </c>
      <c r="B34" s="9" t="n">
        <v>4535633.42</v>
      </c>
      <c r="C34" s="9" t="n">
        <v>1077604.45</v>
      </c>
      <c r="D34" s="10" t="n">
        <f aca="false">B34-C34</f>
        <v>3458028.97</v>
      </c>
      <c r="E34" s="11" t="n">
        <f aca="false">IFERROR(D34/B34,0)</f>
        <v>0.762413680689389</v>
      </c>
      <c r="F34" s="9" t="n">
        <v>2958125</v>
      </c>
      <c r="G34" s="10" t="n">
        <f aca="false">D34-F34</f>
        <v>499903.97</v>
      </c>
      <c r="H34" s="11" t="n">
        <f aca="false">IFERROR(G34/B34,0)</f>
        <v>0.110217013525754</v>
      </c>
    </row>
    <row r="35" customFormat="false" ht="15" hidden="false" customHeight="false" outlineLevel="0" collapsed="false">
      <c r="A35" s="8" t="s">
        <v>62</v>
      </c>
      <c r="B35" s="9" t="n">
        <v>4531766.04</v>
      </c>
      <c r="C35" s="9" t="n">
        <v>1177672.76</v>
      </c>
      <c r="D35" s="10" t="n">
        <f aca="false">B35-C35</f>
        <v>3354093.28</v>
      </c>
      <c r="E35" s="11" t="n">
        <f aca="false">IFERROR(D35/B35,0)</f>
        <v>0.74012939997229</v>
      </c>
      <c r="F35" s="9" t="n">
        <v>3007379.08</v>
      </c>
      <c r="G35" s="10" t="n">
        <f aca="false">D35-F35</f>
        <v>346714.2</v>
      </c>
      <c r="H35" s="11" t="n">
        <f aca="false">IFERROR(G35/B35,0)</f>
        <v>0.0765075242057289</v>
      </c>
    </row>
    <row r="36" customFormat="false" ht="15" hidden="false" customHeight="false" outlineLevel="0" collapsed="false">
      <c r="A36" s="8" t="s">
        <v>63</v>
      </c>
      <c r="B36" s="9" t="n">
        <v>4600535.69</v>
      </c>
      <c r="C36" s="9" t="n">
        <v>1075809.35</v>
      </c>
      <c r="D36" s="10" t="n">
        <f aca="false">B36-C36</f>
        <v>3524726.34</v>
      </c>
      <c r="E36" s="11" t="n">
        <f aca="false">IFERROR(D36/B36,0)</f>
        <v>0.766155634367006</v>
      </c>
      <c r="F36" s="9" t="n">
        <v>3029774.5</v>
      </c>
      <c r="G36" s="10" t="n">
        <f aca="false">D36-F36</f>
        <v>494951.84</v>
      </c>
      <c r="H36" s="11" t="n">
        <f aca="false">IFERROR(G36/B36,0)</f>
        <v>0.107585697264746</v>
      </c>
    </row>
    <row r="37" customFormat="false" ht="15" hidden="false" customHeight="false" outlineLevel="0" collapsed="false">
      <c r="A37" s="8" t="s">
        <v>64</v>
      </c>
      <c r="B37" s="9" t="n">
        <v>4646410.86</v>
      </c>
      <c r="C37" s="9" t="n">
        <v>1098676.46</v>
      </c>
      <c r="D37" s="10" t="n">
        <f aca="false">B37-C37</f>
        <v>3547734.4</v>
      </c>
      <c r="E37" s="11" t="n">
        <f aca="false">IFERROR(D37/B37,0)</f>
        <v>0.763542981216259</v>
      </c>
      <c r="F37" s="9" t="n">
        <v>3071350.41</v>
      </c>
      <c r="G37" s="10" t="n">
        <f aca="false">D37-F37</f>
        <v>476383.99</v>
      </c>
      <c r="H37" s="11" t="n">
        <f aca="false">IFERROR(G37/B37,0)</f>
        <v>0.102527306420767</v>
      </c>
    </row>
    <row r="38" customFormat="false" ht="15" hidden="false" customHeight="false" outlineLevel="0" collapsed="false">
      <c r="A38" s="8" t="s">
        <v>65</v>
      </c>
      <c r="B38" s="9" t="n">
        <v>4676557.08</v>
      </c>
      <c r="C38" s="9" t="n">
        <v>1192184.24</v>
      </c>
      <c r="D38" s="10" t="n">
        <f aca="false">B38-C38</f>
        <v>3484372.84</v>
      </c>
      <c r="E38" s="11" t="n">
        <f aca="false">IFERROR(D38/B38,0)</f>
        <v>0.745072235919336</v>
      </c>
      <c r="F38" s="9" t="n">
        <v>3092408.8</v>
      </c>
      <c r="G38" s="10" t="n">
        <f aca="false">D38-F38</f>
        <v>391964.04</v>
      </c>
      <c r="H38" s="11" t="n">
        <f aca="false">IFERROR(G38/B38,0)</f>
        <v>0.0838146596512835</v>
      </c>
    </row>
    <row r="39" customFormat="false" ht="15" hidden="false" customHeight="false" outlineLevel="0" collapsed="false">
      <c r="A39" s="8" t="s">
        <v>66</v>
      </c>
      <c r="B39" s="9" t="n">
        <v>4742561.86</v>
      </c>
      <c r="C39" s="9" t="n">
        <v>1137167.33</v>
      </c>
      <c r="D39" s="10" t="n">
        <f aca="false">B39-C39</f>
        <v>3605394.53</v>
      </c>
      <c r="E39" s="11" t="n">
        <f aca="false">IFERROR(D39/B39,0)</f>
        <v>0.760220875642938</v>
      </c>
      <c r="F39" s="9" t="n">
        <v>3140200.75</v>
      </c>
      <c r="G39" s="10" t="n">
        <f aca="false">D39-F39</f>
        <v>465193.78</v>
      </c>
      <c r="H39" s="11" t="n">
        <f aca="false">IFERROR(G39/B39,0)</f>
        <v>0.0980891327793878</v>
      </c>
    </row>
    <row r="40" customFormat="false" ht="15" hidden="false" customHeight="false" outlineLevel="0" collapsed="false">
      <c r="A40" s="8" t="s">
        <v>67</v>
      </c>
      <c r="B40" s="9" t="n">
        <v>4767737.15</v>
      </c>
      <c r="C40" s="9" t="n">
        <v>1195482.52</v>
      </c>
      <c r="D40" s="10" t="n">
        <f aca="false">B40-C40</f>
        <v>3572254.63</v>
      </c>
      <c r="E40" s="11" t="n">
        <f aca="false">IFERROR(D40/B40,0)</f>
        <v>0.749255782693473</v>
      </c>
      <c r="F40" s="9" t="n">
        <v>3168003.09</v>
      </c>
      <c r="G40" s="10" t="n">
        <f aca="false">D40-F40</f>
        <v>404251.540000001</v>
      </c>
      <c r="H40" s="11" t="n">
        <f aca="false">IFERROR(G40/B40,0)</f>
        <v>0.0847889737377826</v>
      </c>
    </row>
    <row r="41" customFormat="false" ht="15" hidden="false" customHeight="false" outlineLevel="0" collapsed="false">
      <c r="A41" s="8" t="s">
        <v>68</v>
      </c>
      <c r="B41" s="9" t="n">
        <v>4880418.79</v>
      </c>
      <c r="C41" s="9" t="n">
        <v>1175565.65</v>
      </c>
      <c r="D41" s="10" t="n">
        <f aca="false">B41-C41</f>
        <v>3704853.14</v>
      </c>
      <c r="E41" s="11" t="n">
        <f aca="false">IFERROR(D41/B41,0)</f>
        <v>0.759126070818197</v>
      </c>
      <c r="F41" s="9" t="n">
        <v>3213780.03</v>
      </c>
      <c r="G41" s="10" t="n">
        <f aca="false">D41-F41</f>
        <v>491073.11</v>
      </c>
      <c r="H41" s="11" t="n">
        <f aca="false">IFERROR(G41/B41,0)</f>
        <v>0.100621100592066</v>
      </c>
    </row>
    <row r="42" customFormat="false" ht="15" hidden="false" customHeight="false" outlineLevel="0" collapsed="false">
      <c r="A42" s="8" t="s">
        <v>69</v>
      </c>
      <c r="B42" s="9" t="n">
        <v>4880743.23</v>
      </c>
      <c r="C42" s="9" t="n">
        <v>1265006.82</v>
      </c>
      <c r="D42" s="10" t="n">
        <f aca="false">B42-C42</f>
        <v>3615736.41</v>
      </c>
      <c r="E42" s="11" t="n">
        <f aca="false">IFERROR(D42/B42,0)</f>
        <v>0.740816764908979</v>
      </c>
      <c r="F42" s="9" t="n">
        <v>3240546.15</v>
      </c>
      <c r="G42" s="10" t="n">
        <f aca="false">D42-F42</f>
        <v>375190.26</v>
      </c>
      <c r="H42" s="11" t="n">
        <f aca="false">IFERROR(G42/B42,0)</f>
        <v>0.076871542369583</v>
      </c>
    </row>
    <row r="43" customFormat="false" ht="15" hidden="false" customHeight="false" outlineLevel="0" collapsed="false">
      <c r="A43" s="8" t="s">
        <v>70</v>
      </c>
      <c r="B43" s="9" t="n">
        <v>4915846.84</v>
      </c>
      <c r="C43" s="9" t="n">
        <v>1252275.21</v>
      </c>
      <c r="D43" s="10" t="n">
        <f aca="false">B43-C43</f>
        <v>3663571.63</v>
      </c>
      <c r="E43" s="11" t="n">
        <f aca="false">IFERROR(D43/B43,0)</f>
        <v>0.745257480397823</v>
      </c>
      <c r="F43" s="9" t="n">
        <v>3272588.14</v>
      </c>
      <c r="G43" s="10" t="n">
        <f aca="false">D43-F43</f>
        <v>390983.49</v>
      </c>
      <c r="H43" s="11" t="n">
        <f aca="false">IFERROR(G43/B43,0)</f>
        <v>0.0795353278337695</v>
      </c>
    </row>
    <row r="44" customFormat="false" ht="15" hidden="false" customHeight="false" outlineLevel="0" collapsed="false">
      <c r="A44" s="8" t="s">
        <v>71</v>
      </c>
      <c r="B44" s="9" t="n">
        <v>4864742.94</v>
      </c>
      <c r="C44" s="9" t="n">
        <v>1171411.22</v>
      </c>
      <c r="D44" s="10" t="n">
        <f aca="false">B44-C44</f>
        <v>3693331.72</v>
      </c>
      <c r="E44" s="11" t="n">
        <f aca="false">IFERROR(D44/B44,0)</f>
        <v>0.759203880976289</v>
      </c>
      <c r="F44" s="9" t="n">
        <v>3334950.3</v>
      </c>
      <c r="G44" s="10" t="n">
        <f aca="false">D44-F44</f>
        <v>358381.420000001</v>
      </c>
      <c r="H44" s="11" t="n">
        <f aca="false">IFERROR(G44/B44,0)</f>
        <v>0.0736691382093872</v>
      </c>
    </row>
    <row r="45" customFormat="false" ht="15" hidden="false" customHeight="false" outlineLevel="0" collapsed="false">
      <c r="A45" s="8" t="s">
        <v>72</v>
      </c>
      <c r="B45" s="9" t="n">
        <v>4987227.34</v>
      </c>
      <c r="C45" s="9" t="n">
        <v>1381276.22</v>
      </c>
      <c r="D45" s="10" t="n">
        <f aca="false">B45-C45</f>
        <v>3605951.12</v>
      </c>
      <c r="E45" s="11" t="n">
        <f aca="false">IFERROR(D45/B45,0)</f>
        <v>0.723037245781541</v>
      </c>
      <c r="F45" s="9" t="n">
        <v>3406297.61</v>
      </c>
      <c r="G45" s="10" t="n">
        <f aca="false">D45-F45</f>
        <v>199653.51</v>
      </c>
      <c r="H45" s="11" t="n">
        <f aca="false">IFERROR(G45/B45,0)</f>
        <v>0.0400329674965249</v>
      </c>
    </row>
    <row r="46" customFormat="false" ht="15" hidden="false" customHeight="false" outlineLevel="0" collapsed="false">
      <c r="A46" s="8" t="s">
        <v>73</v>
      </c>
      <c r="B46" s="9" t="n">
        <v>4972539.44</v>
      </c>
      <c r="C46" s="9" t="n">
        <v>1354546.53</v>
      </c>
      <c r="D46" s="10" t="n">
        <f aca="false">B46-C46</f>
        <v>3617992.91</v>
      </c>
      <c r="E46" s="11" t="n">
        <f aca="false">IFERROR(D46/B46,0)</f>
        <v>0.727594613105774</v>
      </c>
      <c r="F46" s="9" t="n">
        <v>3404831.18</v>
      </c>
      <c r="G46" s="10" t="n">
        <f aca="false">D46-F46</f>
        <v>213161.73</v>
      </c>
      <c r="H46" s="11" t="n">
        <f aca="false">IFERROR(G46/B46,0)</f>
        <v>0.0428677806525352</v>
      </c>
    </row>
    <row r="47" customFormat="false" ht="15" hidden="false" customHeight="false" outlineLevel="0" collapsed="false">
      <c r="A47" s="8" t="s">
        <v>74</v>
      </c>
      <c r="B47" s="9" t="n">
        <v>5000264.5</v>
      </c>
      <c r="C47" s="9" t="n">
        <v>1284002.81</v>
      </c>
      <c r="D47" s="10" t="n">
        <f aca="false">B47-C47</f>
        <v>3716261.69</v>
      </c>
      <c r="E47" s="11" t="n">
        <f aca="false">IFERROR(D47/B47,0)</f>
        <v>0.743213022031135</v>
      </c>
      <c r="F47" s="9" t="n">
        <v>3471304.88</v>
      </c>
      <c r="G47" s="10" t="n">
        <f aca="false">D47-F47</f>
        <v>244956.81</v>
      </c>
      <c r="H47" s="11" t="n">
        <f aca="false">IFERROR(G47/B47,0)</f>
        <v>0.0489887704940409</v>
      </c>
    </row>
    <row r="48" customFormat="false" ht="15" hidden="false" customHeight="false" outlineLevel="0" collapsed="false">
      <c r="A48" s="8" t="s">
        <v>75</v>
      </c>
      <c r="B48" s="9" t="n">
        <v>5102176.6</v>
      </c>
      <c r="C48" s="9" t="n">
        <v>1373756.48</v>
      </c>
      <c r="D48" s="10" t="n">
        <f aca="false">B48-C48</f>
        <v>3728420.12</v>
      </c>
      <c r="E48" s="11" t="n">
        <f aca="false">IFERROR(D48/B48,0)</f>
        <v>0.730750895607965</v>
      </c>
      <c r="F48" s="9" t="n">
        <v>3527368.99</v>
      </c>
      <c r="G48" s="10" t="n">
        <f aca="false">D48-F48</f>
        <v>201051.129999999</v>
      </c>
      <c r="H48" s="11" t="n">
        <f aca="false">IFERROR(G48/B48,0)</f>
        <v>0.0394049727718165</v>
      </c>
    </row>
    <row r="49" customFormat="false" ht="15" hidden="false" customHeight="false" outlineLevel="0" collapsed="false">
      <c r="A49" s="8" t="s">
        <v>76</v>
      </c>
      <c r="B49" s="9" t="n">
        <v>5284234.22</v>
      </c>
      <c r="C49" s="9" t="n">
        <v>1199222.98</v>
      </c>
      <c r="D49" s="10" t="n">
        <f aca="false">B49-C49</f>
        <v>4085011.24</v>
      </c>
      <c r="E49" s="11" t="n">
        <f aca="false">IFERROR(D49/B49,0)</f>
        <v>0.773056429735622</v>
      </c>
      <c r="F49" s="9" t="n">
        <v>3567610</v>
      </c>
      <c r="G49" s="10" t="n">
        <f aca="false">D49-F49</f>
        <v>517401.24</v>
      </c>
      <c r="H49" s="11" t="n">
        <f aca="false">IFERROR(G49/B49,0)</f>
        <v>0.0979141382571039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5" min="3" style="0" width="16"/>
    <col collapsed="false" customWidth="true" hidden="false" outlineLevel="0" max="6" min="6" style="0" width="14"/>
  </cols>
  <sheetData>
    <row r="1" customFormat="false" ht="26.85" hidden="false" customHeight="false" outlineLevel="0" collapsed="false">
      <c r="A1" s="7" t="s">
        <v>21</v>
      </c>
      <c r="B1" s="7" t="s">
        <v>77</v>
      </c>
      <c r="C1" s="7" t="s">
        <v>78</v>
      </c>
      <c r="D1" s="7" t="s">
        <v>79</v>
      </c>
      <c r="E1" s="7" t="s">
        <v>80</v>
      </c>
      <c r="F1" s="7" t="s">
        <v>81</v>
      </c>
    </row>
    <row r="2" customFormat="false" ht="15" hidden="false" customHeight="false" outlineLevel="0" collapsed="false">
      <c r="A2" s="8" t="s">
        <v>41</v>
      </c>
      <c r="B2" s="8" t="s">
        <v>82</v>
      </c>
      <c r="C2" s="9" t="n">
        <v>3343333.52</v>
      </c>
      <c r="D2" s="9" t="n">
        <v>3119836.06</v>
      </c>
      <c r="E2" s="10" t="n">
        <f aca="false">D2-C2</f>
        <v>-223497.46</v>
      </c>
      <c r="F2" s="11" t="n">
        <f aca="false">IFERROR(E2/C2,0)</f>
        <v>-0.0668486881918978</v>
      </c>
    </row>
    <row r="3" customFormat="false" ht="15" hidden="false" customHeight="false" outlineLevel="0" collapsed="false">
      <c r="A3" s="8" t="s">
        <v>41</v>
      </c>
      <c r="B3" s="8" t="s">
        <v>83</v>
      </c>
      <c r="C3" s="9" t="n">
        <v>3451552.33</v>
      </c>
      <c r="D3" s="9" t="n">
        <v>3374319.73</v>
      </c>
      <c r="E3" s="10" t="n">
        <f aca="false">D3-C3</f>
        <v>-77232.6000000001</v>
      </c>
      <c r="F3" s="11" t="n">
        <f aca="false">IFERROR(E3/C3,0)</f>
        <v>-0.0223761926854518</v>
      </c>
    </row>
    <row r="4" customFormat="false" ht="15" hidden="false" customHeight="false" outlineLevel="0" collapsed="false">
      <c r="A4" s="8" t="s">
        <v>42</v>
      </c>
      <c r="B4" s="8" t="s">
        <v>82</v>
      </c>
      <c r="C4" s="9" t="n">
        <v>3434257.11</v>
      </c>
      <c r="D4" s="9" t="n">
        <v>3137590.85</v>
      </c>
      <c r="E4" s="10" t="n">
        <f aca="false">D4-C4</f>
        <v>-296666.26</v>
      </c>
      <c r="F4" s="11" t="n">
        <f aca="false">IFERROR(E4/C4,0)</f>
        <v>-0.0863844058548079</v>
      </c>
    </row>
    <row r="5" customFormat="false" ht="15" hidden="false" customHeight="false" outlineLevel="0" collapsed="false">
      <c r="A5" s="8" t="s">
        <v>42</v>
      </c>
      <c r="B5" s="8" t="s">
        <v>83</v>
      </c>
      <c r="C5" s="9" t="n">
        <v>3435146.29</v>
      </c>
      <c r="D5" s="9" t="n">
        <v>3396187.59</v>
      </c>
      <c r="E5" s="10" t="n">
        <f aca="false">D5-C5</f>
        <v>-38958.7000000002</v>
      </c>
      <c r="F5" s="11" t="n">
        <f aca="false">IFERROR(E5/C5,0)</f>
        <v>-0.0113412055007416</v>
      </c>
    </row>
    <row r="6" customFormat="false" ht="15" hidden="false" customHeight="false" outlineLevel="0" collapsed="false">
      <c r="A6" s="8" t="s">
        <v>43</v>
      </c>
      <c r="B6" s="8" t="s">
        <v>82</v>
      </c>
      <c r="C6" s="9" t="n">
        <v>3553123.35</v>
      </c>
      <c r="D6" s="9" t="n">
        <v>3202592.55</v>
      </c>
      <c r="E6" s="10" t="n">
        <f aca="false">D6-C6</f>
        <v>-350530.8</v>
      </c>
      <c r="F6" s="11" t="n">
        <f aca="false">IFERROR(E6/C6,0)</f>
        <v>-0.0986542727259948</v>
      </c>
    </row>
    <row r="7" customFormat="false" ht="15" hidden="false" customHeight="false" outlineLevel="0" collapsed="false">
      <c r="A7" s="8" t="s">
        <v>43</v>
      </c>
      <c r="B7" s="8" t="s">
        <v>83</v>
      </c>
      <c r="C7" s="9" t="n">
        <v>3553787.04</v>
      </c>
      <c r="D7" s="9" t="n">
        <v>3497884.37</v>
      </c>
      <c r="E7" s="10" t="n">
        <f aca="false">D7-C7</f>
        <v>-55902.6699999999</v>
      </c>
      <c r="F7" s="11" t="n">
        <f aca="false">IFERROR(E7/C7,0)</f>
        <v>-0.0157304501847696</v>
      </c>
    </row>
    <row r="8" customFormat="false" ht="15" hidden="false" customHeight="false" outlineLevel="0" collapsed="false">
      <c r="A8" s="8" t="s">
        <v>44</v>
      </c>
      <c r="B8" s="8" t="s">
        <v>82</v>
      </c>
      <c r="C8" s="9" t="n">
        <v>3522944.51</v>
      </c>
      <c r="D8" s="9" t="n">
        <v>3317663.46</v>
      </c>
      <c r="E8" s="10" t="n">
        <f aca="false">D8-C8</f>
        <v>-205281.05</v>
      </c>
      <c r="F8" s="11" t="n">
        <f aca="false">IFERROR(E8/C8,0)</f>
        <v>-0.0582697369820338</v>
      </c>
    </row>
    <row r="9" customFormat="false" ht="15" hidden="false" customHeight="false" outlineLevel="0" collapsed="false">
      <c r="A9" s="8" t="s">
        <v>44</v>
      </c>
      <c r="B9" s="8" t="s">
        <v>83</v>
      </c>
      <c r="C9" s="9" t="n">
        <v>3623715.78</v>
      </c>
      <c r="D9" s="9" t="n">
        <v>3564305.42</v>
      </c>
      <c r="E9" s="10" t="n">
        <f aca="false">D9-C9</f>
        <v>-59410.3599999999</v>
      </c>
      <c r="F9" s="11" t="n">
        <f aca="false">IFERROR(E9/C9,0)</f>
        <v>-0.0163948729996699</v>
      </c>
    </row>
    <row r="10" customFormat="false" ht="15" hidden="false" customHeight="false" outlineLevel="0" collapsed="false">
      <c r="A10" s="8" t="s">
        <v>45</v>
      </c>
      <c r="B10" s="8" t="s">
        <v>82</v>
      </c>
      <c r="C10" s="9" t="n">
        <v>3560891.24</v>
      </c>
      <c r="D10" s="9" t="n">
        <v>3352267.9</v>
      </c>
      <c r="E10" s="10" t="n">
        <f aca="false">D10-C10</f>
        <v>-208623.34</v>
      </c>
      <c r="F10" s="11" t="n">
        <f aca="false">IFERROR(E10/C10,0)</f>
        <v>-0.058587394542272</v>
      </c>
    </row>
    <row r="11" customFormat="false" ht="15" hidden="false" customHeight="false" outlineLevel="0" collapsed="false">
      <c r="A11" s="8" t="s">
        <v>45</v>
      </c>
      <c r="B11" s="8" t="s">
        <v>83</v>
      </c>
      <c r="C11" s="9" t="n">
        <v>3626032.71</v>
      </c>
      <c r="D11" s="9" t="n">
        <v>3553013.12</v>
      </c>
      <c r="E11" s="10" t="n">
        <f aca="false">D11-C11</f>
        <v>-73019.5899999999</v>
      </c>
      <c r="F11" s="11" t="n">
        <f aca="false">IFERROR(E11/C11,0)</f>
        <v>-0.0201375982623168</v>
      </c>
    </row>
    <row r="12" customFormat="false" ht="15" hidden="false" customHeight="false" outlineLevel="0" collapsed="false">
      <c r="A12" s="8" t="s">
        <v>46</v>
      </c>
      <c r="B12" s="8" t="s">
        <v>82</v>
      </c>
      <c r="C12" s="9" t="n">
        <v>3496294.53</v>
      </c>
      <c r="D12" s="9" t="n">
        <v>3350181.21</v>
      </c>
      <c r="E12" s="10" t="n">
        <f aca="false">D12-C12</f>
        <v>-146113.32</v>
      </c>
      <c r="F12" s="11" t="n">
        <f aca="false">IFERROR(E12/C12,0)</f>
        <v>-0.0417909071293258</v>
      </c>
    </row>
    <row r="13" customFormat="false" ht="15" hidden="false" customHeight="false" outlineLevel="0" collapsed="false">
      <c r="A13" s="8" t="s">
        <v>46</v>
      </c>
      <c r="B13" s="8" t="s">
        <v>83</v>
      </c>
      <c r="C13" s="9" t="n">
        <v>3822240.33</v>
      </c>
      <c r="D13" s="9" t="n">
        <v>3747503.25</v>
      </c>
      <c r="E13" s="10" t="n">
        <f aca="false">D13-C13</f>
        <v>-74737.0800000001</v>
      </c>
      <c r="F13" s="11" t="n">
        <f aca="false">IFERROR(E13/C13,0)</f>
        <v>-0.0195532131806061</v>
      </c>
    </row>
    <row r="14" customFormat="false" ht="15" hidden="false" customHeight="false" outlineLevel="0" collapsed="false">
      <c r="A14" s="8" t="s">
        <v>47</v>
      </c>
      <c r="B14" s="8" t="s">
        <v>82</v>
      </c>
      <c r="C14" s="9" t="n">
        <v>3669449.32</v>
      </c>
      <c r="D14" s="9" t="n">
        <v>3392253.48</v>
      </c>
      <c r="E14" s="10" t="n">
        <f aca="false">D14-C14</f>
        <v>-277195.84</v>
      </c>
      <c r="F14" s="11" t="n">
        <f aca="false">IFERROR(E14/C14,0)</f>
        <v>-0.0755415365703974</v>
      </c>
    </row>
    <row r="15" customFormat="false" ht="15" hidden="false" customHeight="false" outlineLevel="0" collapsed="false">
      <c r="A15" s="8" t="s">
        <v>47</v>
      </c>
      <c r="B15" s="8" t="s">
        <v>83</v>
      </c>
      <c r="C15" s="9" t="n">
        <v>3789798.57</v>
      </c>
      <c r="D15" s="9" t="n">
        <v>3623127.03</v>
      </c>
      <c r="E15" s="10" t="n">
        <f aca="false">D15-C15</f>
        <v>-166671.54</v>
      </c>
      <c r="F15" s="11" t="n">
        <f aca="false">IFERROR(E15/C15,0)</f>
        <v>-0.0439789970156646</v>
      </c>
    </row>
    <row r="16" customFormat="false" ht="15" hidden="false" customHeight="false" outlineLevel="0" collapsed="false">
      <c r="A16" s="8" t="s">
        <v>48</v>
      </c>
      <c r="B16" s="8" t="s">
        <v>82</v>
      </c>
      <c r="C16" s="9" t="n">
        <v>3704568.79</v>
      </c>
      <c r="D16" s="9" t="n">
        <v>3412906.12</v>
      </c>
      <c r="E16" s="10" t="n">
        <f aca="false">D16-C16</f>
        <v>-291662.67</v>
      </c>
      <c r="F16" s="11" t="n">
        <f aca="false">IFERROR(E16/C16,0)</f>
        <v>-0.0787305315499351</v>
      </c>
    </row>
    <row r="17" customFormat="false" ht="15" hidden="false" customHeight="false" outlineLevel="0" collapsed="false">
      <c r="A17" s="8" t="s">
        <v>48</v>
      </c>
      <c r="B17" s="8" t="s">
        <v>83</v>
      </c>
      <c r="C17" s="9" t="n">
        <v>3816191.45</v>
      </c>
      <c r="D17" s="9" t="n">
        <v>3657801.07</v>
      </c>
      <c r="E17" s="10" t="n">
        <f aca="false">D17-C17</f>
        <v>-158390.38</v>
      </c>
      <c r="F17" s="11" t="n">
        <f aca="false">IFERROR(E17/C17,0)</f>
        <v>-0.0415048306866262</v>
      </c>
    </row>
    <row r="18" customFormat="false" ht="15" hidden="false" customHeight="false" outlineLevel="0" collapsed="false">
      <c r="A18" s="8" t="s">
        <v>49</v>
      </c>
      <c r="B18" s="8" t="s">
        <v>82</v>
      </c>
      <c r="C18" s="9" t="n">
        <v>3758208.85</v>
      </c>
      <c r="D18" s="9" t="n">
        <v>3550509.89</v>
      </c>
      <c r="E18" s="10" t="n">
        <f aca="false">D18-C18</f>
        <v>-207698.96</v>
      </c>
      <c r="F18" s="11" t="n">
        <f aca="false">IFERROR(E18/C18,0)</f>
        <v>-0.055265411872999</v>
      </c>
    </row>
    <row r="19" customFormat="false" ht="15" hidden="false" customHeight="false" outlineLevel="0" collapsed="false">
      <c r="A19" s="8" t="s">
        <v>49</v>
      </c>
      <c r="B19" s="8" t="s">
        <v>83</v>
      </c>
      <c r="C19" s="9" t="n">
        <v>4010165.35</v>
      </c>
      <c r="D19" s="9" t="n">
        <v>3946735.03</v>
      </c>
      <c r="E19" s="10" t="n">
        <f aca="false">D19-C19</f>
        <v>-63430.3200000003</v>
      </c>
      <c r="F19" s="11" t="n">
        <f aca="false">IFERROR(E19/C19,0)</f>
        <v>-0.0158173826922125</v>
      </c>
    </row>
    <row r="20" customFormat="false" ht="15" hidden="false" customHeight="false" outlineLevel="0" collapsed="false">
      <c r="A20" s="8" t="s">
        <v>50</v>
      </c>
      <c r="B20" s="8" t="s">
        <v>82</v>
      </c>
      <c r="C20" s="9" t="n">
        <v>3775211.56</v>
      </c>
      <c r="D20" s="9" t="n">
        <v>3537363.96</v>
      </c>
      <c r="E20" s="10" t="n">
        <f aca="false">D20-C20</f>
        <v>-237847.6</v>
      </c>
      <c r="F20" s="11" t="n">
        <f aca="false">IFERROR(E20/C20,0)</f>
        <v>-0.0630024559471311</v>
      </c>
    </row>
    <row r="21" customFormat="false" ht="15" hidden="false" customHeight="false" outlineLevel="0" collapsed="false">
      <c r="A21" s="8" t="s">
        <v>50</v>
      </c>
      <c r="B21" s="8" t="s">
        <v>83</v>
      </c>
      <c r="C21" s="9" t="n">
        <v>4044076.27</v>
      </c>
      <c r="D21" s="9" t="n">
        <v>3874182.66</v>
      </c>
      <c r="E21" s="10" t="n">
        <f aca="false">D21-C21</f>
        <v>-169893.61</v>
      </c>
      <c r="F21" s="11" t="n">
        <f aca="false">IFERROR(E21/C21,0)</f>
        <v>-0.0420104861177606</v>
      </c>
    </row>
    <row r="22" customFormat="false" ht="15" hidden="false" customHeight="false" outlineLevel="0" collapsed="false">
      <c r="A22" s="8" t="s">
        <v>51</v>
      </c>
      <c r="B22" s="8" t="s">
        <v>82</v>
      </c>
      <c r="C22" s="9" t="n">
        <v>3769946.04</v>
      </c>
      <c r="D22" s="9" t="n">
        <v>3599617.02</v>
      </c>
      <c r="E22" s="10" t="n">
        <f aca="false">D22-C22</f>
        <v>-170329.02</v>
      </c>
      <c r="F22" s="11" t="n">
        <f aca="false">IFERROR(E22/C22,0)</f>
        <v>-0.0451807580779061</v>
      </c>
    </row>
    <row r="23" customFormat="false" ht="15" hidden="false" customHeight="false" outlineLevel="0" collapsed="false">
      <c r="A23" s="8" t="s">
        <v>51</v>
      </c>
      <c r="B23" s="8" t="s">
        <v>83</v>
      </c>
      <c r="C23" s="9" t="n">
        <v>4127199.97</v>
      </c>
      <c r="D23" s="9" t="n">
        <v>4006897.73</v>
      </c>
      <c r="E23" s="10" t="n">
        <f aca="false">D23-C23</f>
        <v>-120302.24</v>
      </c>
      <c r="F23" s="11" t="n">
        <f aca="false">IFERROR(E23/C23,0)</f>
        <v>-0.0291486336679733</v>
      </c>
    </row>
    <row r="24" customFormat="false" ht="15" hidden="false" customHeight="false" outlineLevel="0" collapsed="false">
      <c r="A24" s="8" t="s">
        <v>52</v>
      </c>
      <c r="B24" s="8" t="s">
        <v>82</v>
      </c>
      <c r="C24" s="9" t="n">
        <v>3751336.43</v>
      </c>
      <c r="D24" s="9" t="n">
        <v>3459885.44</v>
      </c>
      <c r="E24" s="10" t="n">
        <f aca="false">D24-C24</f>
        <v>-291450.99</v>
      </c>
      <c r="F24" s="11" t="n">
        <f aca="false">IFERROR(E24/C24,0)</f>
        <v>-0.0776925758162406</v>
      </c>
    </row>
    <row r="25" customFormat="false" ht="15" hidden="false" customHeight="false" outlineLevel="0" collapsed="false">
      <c r="A25" s="8" t="s">
        <v>52</v>
      </c>
      <c r="B25" s="8" t="s">
        <v>83</v>
      </c>
      <c r="C25" s="9" t="n">
        <v>4286366.16</v>
      </c>
      <c r="D25" s="9" t="n">
        <v>4070781.23</v>
      </c>
      <c r="E25" s="10" t="n">
        <f aca="false">D25-C25</f>
        <v>-215584.93</v>
      </c>
      <c r="F25" s="11" t="n">
        <f aca="false">IFERROR(E25/C25,0)</f>
        <v>-0.050295500186573</v>
      </c>
    </row>
    <row r="26" customFormat="false" ht="15" hidden="false" customHeight="false" outlineLevel="0" collapsed="false">
      <c r="A26" s="8" t="s">
        <v>53</v>
      </c>
      <c r="B26" s="8" t="s">
        <v>82</v>
      </c>
      <c r="C26" s="9" t="n">
        <v>3712604.91</v>
      </c>
      <c r="D26" s="9" t="n">
        <v>3612333.33</v>
      </c>
      <c r="E26" s="10" t="n">
        <f aca="false">D26-C26</f>
        <v>-100271.58</v>
      </c>
      <c r="F26" s="11" t="n">
        <f aca="false">IFERROR(E26/C26,0)</f>
        <v>-0.027008416578321</v>
      </c>
    </row>
    <row r="27" customFormat="false" ht="15" hidden="false" customHeight="false" outlineLevel="0" collapsed="false">
      <c r="A27" s="8" t="s">
        <v>53</v>
      </c>
      <c r="B27" s="8" t="s">
        <v>83</v>
      </c>
      <c r="C27" s="9" t="n">
        <v>4184156.45</v>
      </c>
      <c r="D27" s="9" t="n">
        <v>4106460.69</v>
      </c>
      <c r="E27" s="10" t="n">
        <f aca="false">D27-C27</f>
        <v>-77695.7600000002</v>
      </c>
      <c r="F27" s="11" t="n">
        <f aca="false">IFERROR(E27/C27,0)</f>
        <v>-0.0185690379717996</v>
      </c>
    </row>
    <row r="28" customFormat="false" ht="15" hidden="false" customHeight="false" outlineLevel="0" collapsed="false">
      <c r="A28" s="8" t="s">
        <v>54</v>
      </c>
      <c r="B28" s="8" t="s">
        <v>82</v>
      </c>
      <c r="C28" s="9" t="n">
        <v>3733733.1</v>
      </c>
      <c r="D28" s="9" t="n">
        <v>3654995.56</v>
      </c>
      <c r="E28" s="10" t="n">
        <f aca="false">D28-C28</f>
        <v>-78737.54</v>
      </c>
      <c r="F28" s="11" t="n">
        <f aca="false">IFERROR(E28/C28,0)</f>
        <v>-0.0210881543728983</v>
      </c>
    </row>
    <row r="29" customFormat="false" ht="15" hidden="false" customHeight="false" outlineLevel="0" collapsed="false">
      <c r="A29" s="8" t="s">
        <v>54</v>
      </c>
      <c r="B29" s="8" t="s">
        <v>83</v>
      </c>
      <c r="C29" s="9" t="n">
        <v>4211272.63</v>
      </c>
      <c r="D29" s="9" t="n">
        <v>4203447.74</v>
      </c>
      <c r="E29" s="10" t="n">
        <f aca="false">D29-C29</f>
        <v>-7824.88999999967</v>
      </c>
      <c r="F29" s="11" t="n">
        <f aca="false">IFERROR(E29/C29,0)</f>
        <v>-0.00185808203065677</v>
      </c>
    </row>
    <row r="30" customFormat="false" ht="15" hidden="false" customHeight="false" outlineLevel="0" collapsed="false">
      <c r="A30" s="8" t="s">
        <v>55</v>
      </c>
      <c r="B30" s="8" t="s">
        <v>82</v>
      </c>
      <c r="C30" s="9" t="n">
        <v>3811085.13</v>
      </c>
      <c r="D30" s="9" t="n">
        <v>3778440.3</v>
      </c>
      <c r="E30" s="10" t="n">
        <f aca="false">D30-C30</f>
        <v>-32644.8300000001</v>
      </c>
      <c r="F30" s="11" t="n">
        <f aca="false">IFERROR(E30/C30,0)</f>
        <v>-0.00856575722830943</v>
      </c>
    </row>
    <row r="31" customFormat="false" ht="15" hidden="false" customHeight="false" outlineLevel="0" collapsed="false">
      <c r="A31" s="8" t="s">
        <v>55</v>
      </c>
      <c r="B31" s="8" t="s">
        <v>83</v>
      </c>
      <c r="C31" s="9" t="n">
        <v>4337376.62</v>
      </c>
      <c r="D31" s="9" t="n">
        <v>4169261.71</v>
      </c>
      <c r="E31" s="10" t="n">
        <f aca="false">D31-C31</f>
        <v>-168114.91</v>
      </c>
      <c r="F31" s="11" t="n">
        <f aca="false">IFERROR(E31/C31,0)</f>
        <v>-0.0387595832063115</v>
      </c>
    </row>
    <row r="32" customFormat="false" ht="15" hidden="false" customHeight="false" outlineLevel="0" collapsed="false">
      <c r="A32" s="8" t="s">
        <v>56</v>
      </c>
      <c r="B32" s="8" t="s">
        <v>82</v>
      </c>
      <c r="C32" s="9" t="n">
        <v>3948019.53</v>
      </c>
      <c r="D32" s="9" t="n">
        <v>3904013.22</v>
      </c>
      <c r="E32" s="10" t="n">
        <f aca="false">D32-C32</f>
        <v>-44006.3099999996</v>
      </c>
      <c r="F32" s="11" t="n">
        <f aca="false">IFERROR(E32/C32,0)</f>
        <v>-0.0111464266236797</v>
      </c>
    </row>
    <row r="33" customFormat="false" ht="15" hidden="false" customHeight="false" outlineLevel="0" collapsed="false">
      <c r="A33" s="8" t="s">
        <v>56</v>
      </c>
      <c r="B33" s="8" t="s">
        <v>83</v>
      </c>
      <c r="C33" s="9" t="n">
        <v>4419738.73</v>
      </c>
      <c r="D33" s="9" t="n">
        <v>4251004.47</v>
      </c>
      <c r="E33" s="10" t="n">
        <f aca="false">D33-C33</f>
        <v>-168734.260000001</v>
      </c>
      <c r="F33" s="11" t="n">
        <f aca="false">IFERROR(E33/C33,0)</f>
        <v>-0.038177428646331</v>
      </c>
    </row>
    <row r="34" customFormat="false" ht="15" hidden="false" customHeight="false" outlineLevel="0" collapsed="false">
      <c r="A34" s="8" t="s">
        <v>57</v>
      </c>
      <c r="B34" s="8" t="s">
        <v>82</v>
      </c>
      <c r="C34" s="9" t="n">
        <v>3989198.8</v>
      </c>
      <c r="D34" s="9" t="n">
        <v>3893297.15</v>
      </c>
      <c r="E34" s="10" t="n">
        <f aca="false">D34-C34</f>
        <v>-95901.6499999999</v>
      </c>
      <c r="F34" s="11" t="n">
        <f aca="false">IFERROR(E34/C34,0)</f>
        <v>-0.0240403285993167</v>
      </c>
    </row>
    <row r="35" customFormat="false" ht="15" hidden="false" customHeight="false" outlineLevel="0" collapsed="false">
      <c r="A35" s="8" t="s">
        <v>57</v>
      </c>
      <c r="B35" s="8" t="s">
        <v>83</v>
      </c>
      <c r="C35" s="9" t="n">
        <v>4405736.26</v>
      </c>
      <c r="D35" s="9" t="n">
        <v>4269875.42</v>
      </c>
      <c r="E35" s="10" t="n">
        <f aca="false">D35-C35</f>
        <v>-135860.84</v>
      </c>
      <c r="F35" s="11" t="n">
        <f aca="false">IFERROR(E35/C35,0)</f>
        <v>-0.0308372612390556</v>
      </c>
    </row>
    <row r="36" customFormat="false" ht="15" hidden="false" customHeight="false" outlineLevel="0" collapsed="false">
      <c r="A36" s="8" t="s">
        <v>58</v>
      </c>
      <c r="B36" s="8" t="s">
        <v>82</v>
      </c>
      <c r="C36" s="9" t="n">
        <v>3986715.66</v>
      </c>
      <c r="D36" s="9" t="n">
        <v>3935421.71</v>
      </c>
      <c r="E36" s="10" t="n">
        <f aca="false">D36-C36</f>
        <v>-51293.9500000002</v>
      </c>
      <c r="F36" s="11" t="n">
        <f aca="false">IFERROR(E36/C36,0)</f>
        <v>-0.0128662173012861</v>
      </c>
    </row>
    <row r="37" customFormat="false" ht="15" hidden="false" customHeight="false" outlineLevel="0" collapsed="false">
      <c r="A37" s="8" t="s">
        <v>58</v>
      </c>
      <c r="B37" s="8" t="s">
        <v>83</v>
      </c>
      <c r="C37" s="9" t="n">
        <v>4646904.05</v>
      </c>
      <c r="D37" s="9" t="n">
        <v>4386041.65</v>
      </c>
      <c r="E37" s="10" t="n">
        <f aca="false">D37-C37</f>
        <v>-260862.399999999</v>
      </c>
      <c r="F37" s="11" t="n">
        <f aca="false">IFERROR(E37/C37,0)</f>
        <v>-0.0561368165111994</v>
      </c>
    </row>
    <row r="38" customFormat="false" ht="15" hidden="false" customHeight="false" outlineLevel="0" collapsed="false">
      <c r="A38" s="8" t="s">
        <v>59</v>
      </c>
      <c r="B38" s="8" t="s">
        <v>82</v>
      </c>
      <c r="C38" s="9" t="n">
        <v>4036781.64</v>
      </c>
      <c r="D38" s="9" t="n">
        <v>3982649.91</v>
      </c>
      <c r="E38" s="10" t="n">
        <f aca="false">D38-C38</f>
        <v>-54131.73</v>
      </c>
      <c r="F38" s="11" t="n">
        <f aca="false">IFERROR(E38/C38,0)</f>
        <v>-0.0134096254956213</v>
      </c>
    </row>
    <row r="39" customFormat="false" ht="15" hidden="false" customHeight="false" outlineLevel="0" collapsed="false">
      <c r="A39" s="8" t="s">
        <v>59</v>
      </c>
      <c r="B39" s="8" t="s">
        <v>83</v>
      </c>
      <c r="C39" s="9" t="n">
        <v>4492677.52</v>
      </c>
      <c r="D39" s="9" t="n">
        <v>4396419.88</v>
      </c>
      <c r="E39" s="10" t="n">
        <f aca="false">D39-C39</f>
        <v>-96257.6399999997</v>
      </c>
      <c r="F39" s="11" t="n">
        <f aca="false">IFERROR(E39/C39,0)</f>
        <v>-0.0214254505406833</v>
      </c>
    </row>
    <row r="40" customFormat="false" ht="15" hidden="false" customHeight="false" outlineLevel="0" collapsed="false">
      <c r="A40" s="8" t="s">
        <v>60</v>
      </c>
      <c r="B40" s="8" t="s">
        <v>82</v>
      </c>
      <c r="C40" s="9" t="n">
        <v>4061358.29</v>
      </c>
      <c r="D40" s="9" t="n">
        <v>3989983.88</v>
      </c>
      <c r="E40" s="10" t="n">
        <f aca="false">D40-C40</f>
        <v>-71374.4100000002</v>
      </c>
      <c r="F40" s="11" t="n">
        <f aca="false">IFERROR(E40/C40,0)</f>
        <v>-0.017574024477412</v>
      </c>
    </row>
    <row r="41" customFormat="false" ht="15" hidden="false" customHeight="false" outlineLevel="0" collapsed="false">
      <c r="A41" s="8" t="s">
        <v>60</v>
      </c>
      <c r="B41" s="8" t="s">
        <v>83</v>
      </c>
      <c r="C41" s="9" t="n">
        <v>4535673.31</v>
      </c>
      <c r="D41" s="9" t="n">
        <v>4439266.25</v>
      </c>
      <c r="E41" s="10" t="n">
        <f aca="false">D41-C41</f>
        <v>-96407.0599999996</v>
      </c>
      <c r="F41" s="11" t="n">
        <f aca="false">IFERROR(E41/C41,0)</f>
        <v>-0.021255291863161</v>
      </c>
    </row>
    <row r="42" customFormat="false" ht="15" hidden="false" customHeight="false" outlineLevel="0" collapsed="false">
      <c r="A42" s="8" t="s">
        <v>61</v>
      </c>
      <c r="B42" s="8" t="s">
        <v>82</v>
      </c>
      <c r="C42" s="9" t="n">
        <v>4225106.8</v>
      </c>
      <c r="D42" s="9" t="n">
        <v>4035729.45</v>
      </c>
      <c r="E42" s="10" t="n">
        <f aca="false">D42-C42</f>
        <v>-189377.35</v>
      </c>
      <c r="F42" s="11" t="n">
        <f aca="false">IFERROR(E42/C42,0)</f>
        <v>-0.0448219084071436</v>
      </c>
    </row>
    <row r="43" customFormat="false" ht="15" hidden="false" customHeight="false" outlineLevel="0" collapsed="false">
      <c r="A43" s="8" t="s">
        <v>61</v>
      </c>
      <c r="B43" s="8" t="s">
        <v>83</v>
      </c>
      <c r="C43" s="9" t="n">
        <v>4893951.43</v>
      </c>
      <c r="D43" s="9" t="n">
        <v>4535633.42</v>
      </c>
      <c r="E43" s="10" t="n">
        <f aca="false">D43-C43</f>
        <v>-358318.01</v>
      </c>
      <c r="F43" s="11" t="n">
        <f aca="false">IFERROR(E43/C43,0)</f>
        <v>-0.0732165030906324</v>
      </c>
    </row>
    <row r="44" customFormat="false" ht="15" hidden="false" customHeight="false" outlineLevel="0" collapsed="false">
      <c r="A44" s="8" t="s">
        <v>62</v>
      </c>
      <c r="B44" s="8" t="s">
        <v>82</v>
      </c>
      <c r="C44" s="9" t="n">
        <v>4209463.08</v>
      </c>
      <c r="D44" s="9" t="n">
        <v>4185051.84</v>
      </c>
      <c r="E44" s="10" t="n">
        <f aca="false">D44-C44</f>
        <v>-24411.2400000002</v>
      </c>
      <c r="F44" s="11" t="n">
        <f aca="false">IFERROR(E44/C44,0)</f>
        <v>-0.0057991338885909</v>
      </c>
    </row>
    <row r="45" customFormat="false" ht="15" hidden="false" customHeight="false" outlineLevel="0" collapsed="false">
      <c r="A45" s="8" t="s">
        <v>62</v>
      </c>
      <c r="B45" s="8" t="s">
        <v>83</v>
      </c>
      <c r="C45" s="9" t="n">
        <v>4803986.5</v>
      </c>
      <c r="D45" s="9" t="n">
        <v>4531766.04</v>
      </c>
      <c r="E45" s="10" t="n">
        <f aca="false">D45-C45</f>
        <v>-272220.46</v>
      </c>
      <c r="F45" s="11" t="n">
        <f aca="false">IFERROR(E45/C45,0)</f>
        <v>-0.0566655339268751</v>
      </c>
    </row>
    <row r="46" customFormat="false" ht="15" hidden="false" customHeight="false" outlineLevel="0" collapsed="false">
      <c r="A46" s="8" t="s">
        <v>63</v>
      </c>
      <c r="B46" s="8" t="s">
        <v>82</v>
      </c>
      <c r="C46" s="9" t="n">
        <v>4283544.2</v>
      </c>
      <c r="D46" s="9" t="n">
        <v>4105583.85</v>
      </c>
      <c r="E46" s="10" t="n">
        <f aca="false">D46-C46</f>
        <v>-177960.35</v>
      </c>
      <c r="F46" s="11" t="n">
        <f aca="false">IFERROR(E46/C46,0)</f>
        <v>-0.0415451181757387</v>
      </c>
    </row>
    <row r="47" customFormat="false" ht="15" hidden="false" customHeight="false" outlineLevel="0" collapsed="false">
      <c r="A47" s="8" t="s">
        <v>63</v>
      </c>
      <c r="B47" s="8" t="s">
        <v>83</v>
      </c>
      <c r="C47" s="9" t="n">
        <v>4968553.19</v>
      </c>
      <c r="D47" s="9" t="n">
        <v>4600535.69</v>
      </c>
      <c r="E47" s="10" t="n">
        <f aca="false">D47-C47</f>
        <v>-368017.5</v>
      </c>
      <c r="F47" s="11" t="n">
        <f aca="false">IFERROR(E47/C47,0)</f>
        <v>-0.0740693489486423</v>
      </c>
    </row>
    <row r="48" customFormat="false" ht="15" hidden="false" customHeight="false" outlineLevel="0" collapsed="false">
      <c r="A48" s="8" t="s">
        <v>64</v>
      </c>
      <c r="B48" s="8" t="s">
        <v>82</v>
      </c>
      <c r="C48" s="9" t="n">
        <v>4117263.67</v>
      </c>
      <c r="D48" s="9" t="n">
        <v>4170026.87</v>
      </c>
      <c r="E48" s="10" t="n">
        <f aca="false">D48-C48</f>
        <v>52763.2000000002</v>
      </c>
      <c r="F48" s="11" t="n">
        <f aca="false">IFERROR(E48/C48,0)</f>
        <v>0.0128151131987134</v>
      </c>
    </row>
    <row r="49" customFormat="false" ht="15" hidden="false" customHeight="false" outlineLevel="0" collapsed="false">
      <c r="A49" s="8" t="s">
        <v>64</v>
      </c>
      <c r="B49" s="8" t="s">
        <v>83</v>
      </c>
      <c r="C49" s="9" t="n">
        <v>5047768.73</v>
      </c>
      <c r="D49" s="9" t="n">
        <v>4646410.86</v>
      </c>
      <c r="E49" s="10" t="n">
        <f aca="false">D49-C49</f>
        <v>-401357.87</v>
      </c>
      <c r="F49" s="11" t="n">
        <f aca="false">IFERROR(E49/C49,0)</f>
        <v>-0.0795119371485151</v>
      </c>
    </row>
    <row r="50" customFormat="false" ht="15" hidden="false" customHeight="false" outlineLevel="0" collapsed="false">
      <c r="A50" s="8" t="s">
        <v>65</v>
      </c>
      <c r="B50" s="8" t="s">
        <v>82</v>
      </c>
      <c r="C50" s="9" t="n">
        <v>4190306.7</v>
      </c>
      <c r="D50" s="9" t="n">
        <v>4284593.04</v>
      </c>
      <c r="E50" s="10" t="n">
        <f aca="false">D50-C50</f>
        <v>94286.3399999999</v>
      </c>
      <c r="F50" s="11" t="n">
        <f aca="false">IFERROR(E50/C50,0)</f>
        <v>0.0225010594093267</v>
      </c>
    </row>
    <row r="51" customFormat="false" ht="15" hidden="false" customHeight="false" outlineLevel="0" collapsed="false">
      <c r="A51" s="8" t="s">
        <v>65</v>
      </c>
      <c r="B51" s="8" t="s">
        <v>83</v>
      </c>
      <c r="C51" s="9" t="n">
        <v>4927752.84</v>
      </c>
      <c r="D51" s="9" t="n">
        <v>4676557.08</v>
      </c>
      <c r="E51" s="10" t="n">
        <f aca="false">D51-C51</f>
        <v>-251195.76</v>
      </c>
      <c r="F51" s="11" t="n">
        <f aca="false">IFERROR(E51/C51,0)</f>
        <v>-0.0509757222320428</v>
      </c>
    </row>
    <row r="52" customFormat="false" ht="15" hidden="false" customHeight="false" outlineLevel="0" collapsed="false">
      <c r="A52" s="8" t="s">
        <v>66</v>
      </c>
      <c r="B52" s="8" t="s">
        <v>82</v>
      </c>
      <c r="C52" s="9" t="n">
        <v>4239794.83</v>
      </c>
      <c r="D52" s="9" t="n">
        <v>4277368.08</v>
      </c>
      <c r="E52" s="10" t="n">
        <f aca="false">D52-C52</f>
        <v>37573.25</v>
      </c>
      <c r="F52" s="11" t="n">
        <f aca="false">IFERROR(E52/C52,0)</f>
        <v>0.00886204439284153</v>
      </c>
    </row>
    <row r="53" customFormat="false" ht="15" hidden="false" customHeight="false" outlineLevel="0" collapsed="false">
      <c r="A53" s="8" t="s">
        <v>66</v>
      </c>
      <c r="B53" s="8" t="s">
        <v>83</v>
      </c>
      <c r="C53" s="9" t="n">
        <v>5044137.29</v>
      </c>
      <c r="D53" s="9" t="n">
        <v>4742561.86</v>
      </c>
      <c r="E53" s="10" t="n">
        <f aca="false">D53-C53</f>
        <v>-301575.43</v>
      </c>
      <c r="F53" s="11" t="n">
        <f aca="false">IFERROR(E53/C53,0)</f>
        <v>-0.0597873159792603</v>
      </c>
    </row>
    <row r="54" customFormat="false" ht="15" hidden="false" customHeight="false" outlineLevel="0" collapsed="false">
      <c r="A54" s="8" t="s">
        <v>67</v>
      </c>
      <c r="B54" s="8" t="s">
        <v>82</v>
      </c>
      <c r="C54" s="9" t="n">
        <v>4382990.71</v>
      </c>
      <c r="D54" s="9" t="n">
        <v>4363485.61</v>
      </c>
      <c r="E54" s="10" t="n">
        <f aca="false">D54-C54</f>
        <v>-19505.0999999996</v>
      </c>
      <c r="F54" s="11" t="n">
        <f aca="false">IFERROR(E54/C54,0)</f>
        <v>-0.00445018054806683</v>
      </c>
    </row>
    <row r="55" customFormat="false" ht="15" hidden="false" customHeight="false" outlineLevel="0" collapsed="false">
      <c r="A55" s="8" t="s">
        <v>67</v>
      </c>
      <c r="B55" s="8" t="s">
        <v>83</v>
      </c>
      <c r="C55" s="9" t="n">
        <v>5003114.04</v>
      </c>
      <c r="D55" s="9" t="n">
        <v>4767737.15</v>
      </c>
      <c r="E55" s="10" t="n">
        <f aca="false">D55-C55</f>
        <v>-235376.89</v>
      </c>
      <c r="F55" s="11" t="n">
        <f aca="false">IFERROR(E55/C55,0)</f>
        <v>-0.0470460773266723</v>
      </c>
    </row>
    <row r="56" customFormat="false" ht="15" hidden="false" customHeight="false" outlineLevel="0" collapsed="false">
      <c r="A56" s="8" t="s">
        <v>68</v>
      </c>
      <c r="B56" s="8" t="s">
        <v>82</v>
      </c>
      <c r="C56" s="9" t="n">
        <v>4528655.37</v>
      </c>
      <c r="D56" s="9" t="n">
        <v>4389345.68</v>
      </c>
      <c r="E56" s="10" t="n">
        <f aca="false">D56-C56</f>
        <v>-139309.69</v>
      </c>
      <c r="F56" s="11" t="n">
        <f aca="false">IFERROR(E56/C56,0)</f>
        <v>-0.0307618219135983</v>
      </c>
    </row>
    <row r="57" customFormat="false" ht="15" hidden="false" customHeight="false" outlineLevel="0" collapsed="false">
      <c r="A57" s="8" t="s">
        <v>68</v>
      </c>
      <c r="B57" s="8" t="s">
        <v>83</v>
      </c>
      <c r="C57" s="9" t="n">
        <v>5101205.36</v>
      </c>
      <c r="D57" s="9" t="n">
        <v>4880418.79</v>
      </c>
      <c r="E57" s="10" t="n">
        <f aca="false">D57-C57</f>
        <v>-220786.57</v>
      </c>
      <c r="F57" s="11" t="n">
        <f aca="false">IFERROR(E57/C57,0)</f>
        <v>-0.043281255001269</v>
      </c>
    </row>
    <row r="58" customFormat="false" ht="15" hidden="false" customHeight="false" outlineLevel="0" collapsed="false">
      <c r="A58" s="8" t="s">
        <v>69</v>
      </c>
      <c r="B58" s="8" t="s">
        <v>82</v>
      </c>
      <c r="C58" s="9" t="n">
        <v>4516224.65</v>
      </c>
      <c r="D58" s="9" t="n">
        <v>4505552.97</v>
      </c>
      <c r="E58" s="10" t="n">
        <f aca="false">D58-C58</f>
        <v>-10671.6800000006</v>
      </c>
      <c r="F58" s="11" t="n">
        <f aca="false">IFERROR(E58/C58,0)</f>
        <v>-0.00236296482727019</v>
      </c>
    </row>
    <row r="59" customFormat="false" ht="15" hidden="false" customHeight="false" outlineLevel="0" collapsed="false">
      <c r="A59" s="8" t="s">
        <v>69</v>
      </c>
      <c r="B59" s="8" t="s">
        <v>83</v>
      </c>
      <c r="C59" s="9" t="n">
        <v>5123850.51</v>
      </c>
      <c r="D59" s="9" t="n">
        <v>4880743.23</v>
      </c>
      <c r="E59" s="10" t="n">
        <f aca="false">D59-C59</f>
        <v>-243107.279999999</v>
      </c>
      <c r="F59" s="11" t="n">
        <f aca="false">IFERROR(E59/C59,0)</f>
        <v>-0.047446208574106</v>
      </c>
    </row>
    <row r="60" customFormat="false" ht="15" hidden="false" customHeight="false" outlineLevel="0" collapsed="false">
      <c r="A60" s="8" t="s">
        <v>70</v>
      </c>
      <c r="B60" s="8" t="s">
        <v>82</v>
      </c>
      <c r="C60" s="9" t="n">
        <v>4565089.14</v>
      </c>
      <c r="D60" s="9" t="n">
        <v>4524863.35</v>
      </c>
      <c r="E60" s="10" t="n">
        <f aca="false">D60-C60</f>
        <v>-40225.79</v>
      </c>
      <c r="F60" s="11" t="n">
        <f aca="false">IFERROR(E60/C60,0)</f>
        <v>-0.00881161106965812</v>
      </c>
    </row>
    <row r="61" customFormat="false" ht="15" hidden="false" customHeight="false" outlineLevel="0" collapsed="false">
      <c r="A61" s="8" t="s">
        <v>70</v>
      </c>
      <c r="B61" s="8" t="s">
        <v>83</v>
      </c>
      <c r="C61" s="9" t="n">
        <v>5263249.98</v>
      </c>
      <c r="D61" s="9" t="n">
        <v>4915846.84</v>
      </c>
      <c r="E61" s="10" t="n">
        <f aca="false">D61-C61</f>
        <v>-347403.140000001</v>
      </c>
      <c r="F61" s="11" t="n">
        <f aca="false">IFERROR(E61/C61,0)</f>
        <v>-0.0660054417555901</v>
      </c>
    </row>
    <row r="62" customFormat="false" ht="15" hidden="false" customHeight="false" outlineLevel="0" collapsed="false">
      <c r="A62" s="8" t="s">
        <v>71</v>
      </c>
      <c r="B62" s="8" t="s">
        <v>82</v>
      </c>
      <c r="C62" s="9" t="n">
        <v>4619873.9</v>
      </c>
      <c r="D62" s="9" t="n">
        <v>4506361.52</v>
      </c>
      <c r="E62" s="10" t="n">
        <f aca="false">D62-C62</f>
        <v>-113512.380000001</v>
      </c>
      <c r="F62" s="11" t="n">
        <f aca="false">IFERROR(E62/C62,0)</f>
        <v>-0.0245704498557852</v>
      </c>
    </row>
    <row r="63" customFormat="false" ht="15" hidden="false" customHeight="false" outlineLevel="0" collapsed="false">
      <c r="A63" s="8" t="s">
        <v>71</v>
      </c>
      <c r="B63" s="8" t="s">
        <v>83</v>
      </c>
      <c r="C63" s="9" t="n">
        <v>5275703.85</v>
      </c>
      <c r="D63" s="9" t="n">
        <v>4864742.94</v>
      </c>
      <c r="E63" s="10" t="n">
        <f aca="false">D63-C63</f>
        <v>-410960.909999999</v>
      </c>
      <c r="F63" s="11" t="n">
        <f aca="false">IFERROR(E63/C63,0)</f>
        <v>-0.0778968876351919</v>
      </c>
    </row>
    <row r="64" customFormat="false" ht="15" hidden="false" customHeight="false" outlineLevel="0" collapsed="false">
      <c r="A64" s="8" t="s">
        <v>72</v>
      </c>
      <c r="B64" s="8" t="s">
        <v>82</v>
      </c>
      <c r="C64" s="9" t="n">
        <v>4628381.3</v>
      </c>
      <c r="D64" s="9" t="n">
        <v>4787573.83</v>
      </c>
      <c r="E64" s="10" t="n">
        <f aca="false">D64-C64</f>
        <v>159192.53</v>
      </c>
      <c r="F64" s="11" t="n">
        <f aca="false">IFERROR(E64/C64,0)</f>
        <v>0.0343948606827187</v>
      </c>
    </row>
    <row r="65" customFormat="false" ht="15" hidden="false" customHeight="false" outlineLevel="0" collapsed="false">
      <c r="A65" s="8" t="s">
        <v>72</v>
      </c>
      <c r="B65" s="8" t="s">
        <v>83</v>
      </c>
      <c r="C65" s="9" t="n">
        <v>5327119.49</v>
      </c>
      <c r="D65" s="9" t="n">
        <v>4987227.34</v>
      </c>
      <c r="E65" s="10" t="n">
        <f aca="false">D65-C65</f>
        <v>-339892.15</v>
      </c>
      <c r="F65" s="11" t="n">
        <f aca="false">IFERROR(E65/C65,0)</f>
        <v>-0.0638041160214336</v>
      </c>
    </row>
    <row r="66" customFormat="false" ht="15" hidden="false" customHeight="false" outlineLevel="0" collapsed="false">
      <c r="A66" s="8" t="s">
        <v>73</v>
      </c>
      <c r="B66" s="8" t="s">
        <v>82</v>
      </c>
      <c r="C66" s="9" t="n">
        <v>4681446.17</v>
      </c>
      <c r="D66" s="9" t="n">
        <v>4759377.71</v>
      </c>
      <c r="E66" s="10" t="n">
        <f aca="false">D66-C66</f>
        <v>77931.54</v>
      </c>
      <c r="F66" s="11" t="n">
        <f aca="false">IFERROR(E66/C66,0)</f>
        <v>0.0166468943933195</v>
      </c>
    </row>
    <row r="67" customFormat="false" ht="15" hidden="false" customHeight="false" outlineLevel="0" collapsed="false">
      <c r="A67" s="8" t="s">
        <v>73</v>
      </c>
      <c r="B67" s="8" t="s">
        <v>83</v>
      </c>
      <c r="C67" s="9" t="n">
        <v>5442760.09</v>
      </c>
      <c r="D67" s="9" t="n">
        <v>4972539.44</v>
      </c>
      <c r="E67" s="10" t="n">
        <f aca="false">D67-C67</f>
        <v>-470220.649999999</v>
      </c>
      <c r="F67" s="11" t="n">
        <f aca="false">IFERROR(E67/C67,0)</f>
        <v>-0.0863937859146019</v>
      </c>
    </row>
    <row r="68" customFormat="false" ht="15" hidden="false" customHeight="false" outlineLevel="0" collapsed="false">
      <c r="A68" s="8" t="s">
        <v>74</v>
      </c>
      <c r="B68" s="8" t="s">
        <v>82</v>
      </c>
      <c r="C68" s="9" t="n">
        <v>4854660.13</v>
      </c>
      <c r="D68" s="9" t="n">
        <v>4755307.69</v>
      </c>
      <c r="E68" s="10" t="n">
        <f aca="false">D68-C68</f>
        <v>-99352.4399999995</v>
      </c>
      <c r="F68" s="11" t="n">
        <f aca="false">IFERROR(E68/C68,0)</f>
        <v>-0.0204653749880529</v>
      </c>
    </row>
    <row r="69" customFormat="false" ht="15" hidden="false" customHeight="false" outlineLevel="0" collapsed="false">
      <c r="A69" s="8" t="s">
        <v>74</v>
      </c>
      <c r="B69" s="8" t="s">
        <v>83</v>
      </c>
      <c r="C69" s="9" t="n">
        <v>5438119.25</v>
      </c>
      <c r="D69" s="9" t="n">
        <v>5000264.5</v>
      </c>
      <c r="E69" s="10" t="n">
        <f aca="false">D69-C69</f>
        <v>-437854.75</v>
      </c>
      <c r="F69" s="11" t="n">
        <f aca="false">IFERROR(E69/C69,0)</f>
        <v>-0.0805158419429659</v>
      </c>
    </row>
    <row r="70" customFormat="false" ht="15" hidden="false" customHeight="false" outlineLevel="0" collapsed="false">
      <c r="A70" s="8" t="s">
        <v>75</v>
      </c>
      <c r="B70" s="8" t="s">
        <v>82</v>
      </c>
      <c r="C70" s="9" t="n">
        <v>4762477.29</v>
      </c>
      <c r="D70" s="9" t="n">
        <v>4901125.47</v>
      </c>
      <c r="E70" s="10" t="n">
        <f aca="false">D70-C70</f>
        <v>138648.18</v>
      </c>
      <c r="F70" s="11" t="n">
        <f aca="false">IFERROR(E70/C70,0)</f>
        <v>0.0291126175637889</v>
      </c>
    </row>
    <row r="71" customFormat="false" ht="15" hidden="false" customHeight="false" outlineLevel="0" collapsed="false">
      <c r="A71" s="8" t="s">
        <v>75</v>
      </c>
      <c r="B71" s="8" t="s">
        <v>83</v>
      </c>
      <c r="C71" s="9" t="n">
        <v>5520642.83</v>
      </c>
      <c r="D71" s="9" t="n">
        <v>5102176.6</v>
      </c>
      <c r="E71" s="10" t="n">
        <f aca="false">D71-C71</f>
        <v>-418466.23</v>
      </c>
      <c r="F71" s="11" t="n">
        <f aca="false">IFERROR(E71/C71,0)</f>
        <v>-0.0758002723389371</v>
      </c>
    </row>
    <row r="72" customFormat="false" ht="15" hidden="false" customHeight="false" outlineLevel="0" collapsed="false">
      <c r="A72" s="8" t="s">
        <v>76</v>
      </c>
      <c r="B72" s="8" t="s">
        <v>82</v>
      </c>
      <c r="C72" s="9" t="n">
        <v>4837231.21</v>
      </c>
      <c r="D72" s="9" t="n">
        <v>4766832.98</v>
      </c>
      <c r="E72" s="10" t="n">
        <f aca="false">D72-C72</f>
        <v>-70398.2299999995</v>
      </c>
      <c r="F72" s="11" t="n">
        <f aca="false">IFERROR(E72/C72,0)</f>
        <v>-0.014553414328111</v>
      </c>
    </row>
    <row r="73" customFormat="false" ht="15" hidden="false" customHeight="false" outlineLevel="0" collapsed="false">
      <c r="A73" s="8" t="s">
        <v>76</v>
      </c>
      <c r="B73" s="8" t="s">
        <v>83</v>
      </c>
      <c r="C73" s="9" t="n">
        <v>5575693.03</v>
      </c>
      <c r="D73" s="9" t="n">
        <v>5284234.22</v>
      </c>
      <c r="E73" s="10" t="n">
        <f aca="false">D73-C73</f>
        <v>-291458.810000001</v>
      </c>
      <c r="F73" s="11" t="n">
        <f aca="false">IFERROR(E73/C73,0)</f>
        <v>-0.0522731090882886</v>
      </c>
    </row>
  </sheetData>
  <conditionalFormatting sqref="F2:F7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5" min="3" style="0" width="16"/>
    <col collapsed="false" customWidth="true" hidden="false" outlineLevel="0" max="6" min="6" style="0" width="14"/>
  </cols>
  <sheetData>
    <row r="1" customFormat="false" ht="26.85" hidden="false" customHeight="false" outlineLevel="0" collapsed="false">
      <c r="A1" s="7" t="s">
        <v>21</v>
      </c>
      <c r="B1" s="7" t="s">
        <v>77</v>
      </c>
      <c r="C1" s="7" t="s">
        <v>84</v>
      </c>
      <c r="D1" s="7" t="s">
        <v>79</v>
      </c>
      <c r="E1" s="7" t="s">
        <v>80</v>
      </c>
      <c r="F1" s="7" t="s">
        <v>81</v>
      </c>
    </row>
    <row r="2" customFormat="false" ht="15" hidden="false" customHeight="false" outlineLevel="0" collapsed="false">
      <c r="A2" s="8" t="s">
        <v>71</v>
      </c>
      <c r="B2" s="8" t="s">
        <v>82</v>
      </c>
      <c r="C2" s="9" t="n">
        <v>4510724.08</v>
      </c>
      <c r="D2" s="9" t="n">
        <v>4506361.52</v>
      </c>
      <c r="E2" s="10" t="n">
        <f aca="false">D2-C2</f>
        <v>-4362.56000000052</v>
      </c>
      <c r="F2" s="11" t="n">
        <f aca="false">IFERROR(E2/C2,0)</f>
        <v>-0.000967152927695928</v>
      </c>
    </row>
    <row r="3" customFormat="false" ht="15" hidden="false" customHeight="false" outlineLevel="0" collapsed="false">
      <c r="A3" s="8" t="s">
        <v>71</v>
      </c>
      <c r="B3" s="8" t="s">
        <v>83</v>
      </c>
      <c r="C3" s="9" t="n">
        <v>4948890.63</v>
      </c>
      <c r="D3" s="9" t="n">
        <v>4864742.94</v>
      </c>
      <c r="E3" s="10" t="n">
        <f aca="false">D3-C3</f>
        <v>-84147.6899999995</v>
      </c>
      <c r="F3" s="11" t="n">
        <f aca="false">IFERROR(E3/C3,0)</f>
        <v>-0.0170033440403591</v>
      </c>
    </row>
    <row r="4" customFormat="false" ht="15" hidden="false" customHeight="false" outlineLevel="0" collapsed="false">
      <c r="A4" s="8" t="s">
        <v>72</v>
      </c>
      <c r="B4" s="8" t="s">
        <v>82</v>
      </c>
      <c r="C4" s="9" t="n">
        <v>4582828.99</v>
      </c>
      <c r="D4" s="9" t="n">
        <v>4787573.83</v>
      </c>
      <c r="E4" s="10" t="n">
        <f aca="false">D4-C4</f>
        <v>204744.84</v>
      </c>
      <c r="F4" s="11" t="n">
        <f aca="false">IFERROR(E4/C4,0)</f>
        <v>0.0446765175935574</v>
      </c>
    </row>
    <row r="5" customFormat="false" ht="15" hidden="false" customHeight="false" outlineLevel="0" collapsed="false">
      <c r="A5" s="8" t="s">
        <v>72</v>
      </c>
      <c r="B5" s="8" t="s">
        <v>83</v>
      </c>
      <c r="C5" s="9" t="n">
        <v>5029287.41</v>
      </c>
      <c r="D5" s="9" t="n">
        <v>4987227.34</v>
      </c>
      <c r="E5" s="10" t="n">
        <f aca="false">D5-C5</f>
        <v>-42060.0700000003</v>
      </c>
      <c r="F5" s="11" t="n">
        <f aca="false">IFERROR(E5/C5,0)</f>
        <v>-0.00836302771568991</v>
      </c>
    </row>
    <row r="6" customFormat="false" ht="15" hidden="false" customHeight="false" outlineLevel="0" collapsed="false">
      <c r="A6" s="8" t="s">
        <v>73</v>
      </c>
      <c r="B6" s="8" t="s">
        <v>82</v>
      </c>
      <c r="C6" s="9" t="n">
        <v>4621953.9</v>
      </c>
      <c r="D6" s="9" t="n">
        <v>4759377.71</v>
      </c>
      <c r="E6" s="10" t="n">
        <f aca="false">D6-C6</f>
        <v>137423.81</v>
      </c>
      <c r="F6" s="11" t="n">
        <f aca="false">IFERROR(E6/C6,0)</f>
        <v>0.0297328387459684</v>
      </c>
    </row>
    <row r="7" customFormat="false" ht="15" hidden="false" customHeight="false" outlineLevel="0" collapsed="false">
      <c r="A7" s="8" t="s">
        <v>73</v>
      </c>
      <c r="B7" s="8" t="s">
        <v>83</v>
      </c>
      <c r="C7" s="9" t="n">
        <v>5095687.19</v>
      </c>
      <c r="D7" s="9" t="n">
        <v>4972539.44</v>
      </c>
      <c r="E7" s="10" t="n">
        <f aca="false">D7-C7</f>
        <v>-123147.75</v>
      </c>
      <c r="F7" s="11" t="n">
        <f aca="false">IFERROR(E7/C7,0)</f>
        <v>-0.0241670544929976</v>
      </c>
    </row>
    <row r="8" customFormat="false" ht="15" hidden="false" customHeight="false" outlineLevel="0" collapsed="false">
      <c r="A8" s="8" t="s">
        <v>74</v>
      </c>
      <c r="B8" s="8" t="s">
        <v>82</v>
      </c>
      <c r="C8" s="9" t="n">
        <v>4664860.81</v>
      </c>
      <c r="D8" s="9" t="n">
        <v>4755307.69</v>
      </c>
      <c r="E8" s="10" t="n">
        <f aca="false">D8-C8</f>
        <v>90446.8800000008</v>
      </c>
      <c r="F8" s="11" t="n">
        <f aca="false">IFERROR(E8/C8,0)</f>
        <v>0.0193889772243817</v>
      </c>
    </row>
    <row r="9" customFormat="false" ht="15" hidden="false" customHeight="false" outlineLevel="0" collapsed="false">
      <c r="A9" s="8" t="s">
        <v>74</v>
      </c>
      <c r="B9" s="8" t="s">
        <v>83</v>
      </c>
      <c r="C9" s="9" t="n">
        <v>5169394.69</v>
      </c>
      <c r="D9" s="9" t="n">
        <v>5000264.5</v>
      </c>
      <c r="E9" s="10" t="n">
        <f aca="false">D9-C9</f>
        <v>-169130.19</v>
      </c>
      <c r="F9" s="11" t="n">
        <f aca="false">IFERROR(E9/C9,0)</f>
        <v>-0.0327176004430802</v>
      </c>
    </row>
    <row r="10" customFormat="false" ht="15" hidden="false" customHeight="false" outlineLevel="0" collapsed="false">
      <c r="A10" s="8" t="s">
        <v>75</v>
      </c>
      <c r="B10" s="8" t="s">
        <v>82</v>
      </c>
      <c r="C10" s="9" t="n">
        <v>4708223.51</v>
      </c>
      <c r="D10" s="9" t="n">
        <v>4901125.47</v>
      </c>
      <c r="E10" s="10" t="n">
        <f aca="false">D10-C10</f>
        <v>192901.96</v>
      </c>
      <c r="F10" s="11" t="n">
        <f aca="false">IFERROR(E10/C10,0)</f>
        <v>0.0409712834554874</v>
      </c>
    </row>
    <row r="11" customFormat="false" ht="15" hidden="false" customHeight="false" outlineLevel="0" collapsed="false">
      <c r="A11" s="8" t="s">
        <v>75</v>
      </c>
      <c r="B11" s="8" t="s">
        <v>83</v>
      </c>
      <c r="C11" s="9" t="n">
        <v>5230859.5</v>
      </c>
      <c r="D11" s="9" t="n">
        <v>5102176.6</v>
      </c>
      <c r="E11" s="10" t="n">
        <f aca="false">D11-C11</f>
        <v>-128682.9</v>
      </c>
      <c r="F11" s="11" t="n">
        <f aca="false">IFERROR(E11/C11,0)</f>
        <v>-0.024600718103784</v>
      </c>
    </row>
    <row r="12" customFormat="false" ht="15" hidden="false" customHeight="false" outlineLevel="0" collapsed="false">
      <c r="A12" s="8" t="s">
        <v>76</v>
      </c>
      <c r="B12" s="8" t="s">
        <v>82</v>
      </c>
      <c r="C12" s="9" t="n">
        <v>4767166.83</v>
      </c>
      <c r="D12" s="9" t="n">
        <v>4766832.98</v>
      </c>
      <c r="E12" s="10" t="n">
        <f aca="false">D12-C12</f>
        <v>-333.849999999627</v>
      </c>
      <c r="F12" s="11" t="n">
        <f aca="false">IFERROR(E12/C12,0)</f>
        <v>-7.0031113217749E-005</v>
      </c>
    </row>
    <row r="13" customFormat="false" ht="15" hidden="false" customHeight="false" outlineLevel="0" collapsed="false">
      <c r="A13" s="8" t="s">
        <v>76</v>
      </c>
      <c r="B13" s="8" t="s">
        <v>83</v>
      </c>
      <c r="C13" s="9" t="n">
        <v>5306938.84</v>
      </c>
      <c r="D13" s="9" t="n">
        <v>5284234.22</v>
      </c>
      <c r="E13" s="10" t="n">
        <f aca="false">D13-C13</f>
        <v>-22704.6200000001</v>
      </c>
      <c r="F13" s="11" t="n">
        <f aca="false">IFERROR(E13/C13,0)</f>
        <v>-0.00427828936502312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40"/>
  </cols>
  <sheetData>
    <row r="1" customFormat="false" ht="15" hidden="false" customHeight="false" outlineLevel="0" collapsed="false">
      <c r="B1" s="3" t="s">
        <v>85</v>
      </c>
    </row>
    <row r="2" customFormat="false" ht="26.85" hidden="false" customHeight="false" outlineLevel="0" collapsed="false">
      <c r="B2" s="7" t="s">
        <v>86</v>
      </c>
      <c r="C2" s="7" t="s">
        <v>87</v>
      </c>
      <c r="D2" s="7" t="s">
        <v>88</v>
      </c>
      <c r="E2" s="7" t="s">
        <v>89</v>
      </c>
      <c r="F2" s="7" t="s">
        <v>90</v>
      </c>
    </row>
    <row r="3" customFormat="false" ht="15" hidden="false" customHeight="false" outlineLevel="0" collapsed="false">
      <c r="B3" s="8" t="s">
        <v>91</v>
      </c>
      <c r="C3" s="12" t="n">
        <v>0</v>
      </c>
      <c r="D3" s="12" t="n">
        <v>0</v>
      </c>
      <c r="E3" s="12" t="n">
        <v>0</v>
      </c>
      <c r="F3" s="13" t="s">
        <v>92</v>
      </c>
    </row>
    <row r="4" customFormat="false" ht="15" hidden="false" customHeight="false" outlineLevel="0" collapsed="false">
      <c r="B4" s="8" t="s">
        <v>93</v>
      </c>
      <c r="C4" s="12" t="n">
        <v>0.045</v>
      </c>
      <c r="D4" s="12" t="n">
        <v>-0.006</v>
      </c>
      <c r="E4" s="12" t="n">
        <v>0.015</v>
      </c>
      <c r="F4" s="13" t="s">
        <v>94</v>
      </c>
    </row>
    <row r="5" customFormat="false" ht="15" hidden="false" customHeight="false" outlineLevel="0" collapsed="false">
      <c r="B5" s="8" t="s">
        <v>95</v>
      </c>
      <c r="C5" s="12" t="n">
        <v>-0.055</v>
      </c>
      <c r="D5" s="12" t="n">
        <v>0.01</v>
      </c>
      <c r="E5" s="12" t="n">
        <v>-0.02</v>
      </c>
      <c r="F5" s="13" t="s">
        <v>96</v>
      </c>
    </row>
    <row r="8" customFormat="false" ht="15" hidden="false" customHeight="false" outlineLevel="0" collapsed="false">
      <c r="B8" s="3" t="s">
        <v>97</v>
      </c>
    </row>
    <row r="9" customFormat="false" ht="26.85" hidden="false" customHeight="false" outlineLevel="0" collapsed="false">
      <c r="B9" s="7" t="s">
        <v>86</v>
      </c>
      <c r="C9" s="7" t="s">
        <v>98</v>
      </c>
      <c r="D9" s="7" t="s">
        <v>99</v>
      </c>
      <c r="E9" s="7" t="s">
        <v>100</v>
      </c>
      <c r="F9" s="7" t="s">
        <v>28</v>
      </c>
    </row>
    <row r="10" customFormat="false" ht="15" hidden="false" customHeight="false" outlineLevel="0" collapsed="false">
      <c r="B10" s="8" t="s">
        <v>91</v>
      </c>
      <c r="C10" s="10" t="n">
        <v>30781058.26</v>
      </c>
      <c r="D10" s="10" t="n">
        <v>27855758.12</v>
      </c>
      <c r="E10" s="10" t="n">
        <f aca="false">C10-D10</f>
        <v>2925300.14</v>
      </c>
      <c r="F10" s="11" t="n">
        <f aca="false">IFERROR(E10/C10,0)</f>
        <v>0.0950357234403935</v>
      </c>
    </row>
    <row r="11" customFormat="false" ht="15" hidden="false" customHeight="false" outlineLevel="0" collapsed="false">
      <c r="B11" s="8" t="s">
        <v>95</v>
      </c>
      <c r="C11" s="10" t="n">
        <v>28780289.47</v>
      </c>
      <c r="D11" s="10" t="n">
        <v>27298642.96</v>
      </c>
      <c r="E11" s="10" t="n">
        <f aca="false">C11-D11</f>
        <v>1481646.51</v>
      </c>
      <c r="F11" s="11" t="n">
        <f aca="false">IFERROR(E11/C11,0)</f>
        <v>0.0514812928321807</v>
      </c>
    </row>
    <row r="12" customFormat="false" ht="15" hidden="false" customHeight="false" outlineLevel="0" collapsed="false">
      <c r="B12" s="8" t="s">
        <v>93</v>
      </c>
      <c r="C12" s="10" t="n">
        <v>32350892.23</v>
      </c>
      <c r="D12" s="10" t="n">
        <v>28273594.49</v>
      </c>
      <c r="E12" s="10" t="n">
        <f aca="false">C12-D12</f>
        <v>4077297.74</v>
      </c>
      <c r="F12" s="11" t="n">
        <f aca="false">IFERROR(E12/C12,0)</f>
        <v>0.126033548348908</v>
      </c>
    </row>
    <row r="15" customFormat="false" ht="15" hidden="false" customHeight="false" outlineLevel="0" collapsed="false">
      <c r="B15" s="3" t="s">
        <v>101</v>
      </c>
    </row>
    <row r="16" customFormat="false" ht="39.55" hidden="false" customHeight="false" outlineLevel="0" collapsed="false">
      <c r="B16" s="7" t="s">
        <v>86</v>
      </c>
      <c r="C16" s="7" t="s">
        <v>102</v>
      </c>
      <c r="D16" s="7" t="s">
        <v>103</v>
      </c>
      <c r="E16" s="7" t="s">
        <v>104</v>
      </c>
      <c r="F16" s="7" t="s">
        <v>105</v>
      </c>
      <c r="G16" s="7" t="s">
        <v>28</v>
      </c>
    </row>
    <row r="17" customFormat="false" ht="15" hidden="false" customHeight="false" outlineLevel="0" collapsed="false">
      <c r="B17" s="8" t="s">
        <v>91</v>
      </c>
      <c r="C17" s="8" t="n">
        <v>2027</v>
      </c>
      <c r="D17" s="10" t="n">
        <v>144143122</v>
      </c>
      <c r="E17" s="10" t="n">
        <v>127186548</v>
      </c>
      <c r="F17" s="10" t="n">
        <f aca="false">D17-E17</f>
        <v>16956574</v>
      </c>
      <c r="G17" s="11" t="n">
        <f aca="false">IFERROR(F17/D17,0)</f>
        <v>0.117637066304142</v>
      </c>
    </row>
    <row r="18" customFormat="false" ht="15" hidden="false" customHeight="false" outlineLevel="0" collapsed="false">
      <c r="B18" s="8" t="s">
        <v>91</v>
      </c>
      <c r="C18" s="8" t="n">
        <v>2028</v>
      </c>
      <c r="D18" s="10" t="n">
        <v>171530315</v>
      </c>
      <c r="E18" s="10" t="n">
        <v>144992665</v>
      </c>
      <c r="F18" s="10" t="n">
        <f aca="false">D18-E18</f>
        <v>26537650</v>
      </c>
      <c r="G18" s="11" t="n">
        <f aca="false">IFERROR(F18/D18,0)</f>
        <v>0.154711136629114</v>
      </c>
    </row>
    <row r="19" customFormat="false" ht="15" hidden="false" customHeight="false" outlineLevel="0" collapsed="false">
      <c r="B19" s="8" t="s">
        <v>91</v>
      </c>
      <c r="C19" s="8" t="n">
        <v>2029</v>
      </c>
      <c r="D19" s="10" t="n">
        <v>200690469</v>
      </c>
      <c r="E19" s="10" t="n">
        <v>163841711</v>
      </c>
      <c r="F19" s="10" t="n">
        <f aca="false">D19-E19</f>
        <v>36848758</v>
      </c>
      <c r="G19" s="11" t="n">
        <f aca="false">IFERROR(F19/D19,0)</f>
        <v>0.18360990526162</v>
      </c>
    </row>
    <row r="20" customFormat="false" ht="15" hidden="false" customHeight="false" outlineLevel="0" collapsed="false">
      <c r="B20" s="8" t="s">
        <v>95</v>
      </c>
      <c r="C20" s="8" t="n">
        <v>2027</v>
      </c>
      <c r="D20" s="10" t="n">
        <v>116035213.21</v>
      </c>
      <c r="E20" s="10" t="n">
        <v>119555355.12</v>
      </c>
      <c r="F20" s="10" t="n">
        <f aca="false">D20-E20</f>
        <v>-3520141.91000001</v>
      </c>
      <c r="G20" s="11" t="n">
        <f aca="false">IFERROR(F20/D20,0)</f>
        <v>-0.0303368418311886</v>
      </c>
    </row>
    <row r="21" customFormat="false" ht="15" hidden="false" customHeight="false" outlineLevel="0" collapsed="false">
      <c r="B21" s="8" t="s">
        <v>95</v>
      </c>
      <c r="C21" s="8" t="n">
        <v>2028</v>
      </c>
      <c r="D21" s="10" t="n">
        <v>138081903.57</v>
      </c>
      <c r="E21" s="10" t="n">
        <v>136293105.1</v>
      </c>
      <c r="F21" s="10" t="n">
        <f aca="false">D21-E21</f>
        <v>1788798.47</v>
      </c>
      <c r="G21" s="11" t="n">
        <f aca="false">IFERROR(F21/D21,0)</f>
        <v>0.0129546191336591</v>
      </c>
    </row>
    <row r="22" customFormat="false" ht="15" hidden="false" customHeight="false" outlineLevel="0" collapsed="false">
      <c r="B22" s="8" t="s">
        <v>95</v>
      </c>
      <c r="C22" s="8" t="n">
        <v>2029</v>
      </c>
      <c r="D22" s="10" t="n">
        <v>161555827.54</v>
      </c>
      <c r="E22" s="10" t="n">
        <v>154011208.34</v>
      </c>
      <c r="F22" s="10" t="n">
        <f aca="false">D22-E22</f>
        <v>7544619.19999999</v>
      </c>
      <c r="G22" s="11" t="n">
        <f aca="false">IFERROR(F22/D22,0)</f>
        <v>0.0466997651207104</v>
      </c>
    </row>
    <row r="23" customFormat="false" ht="15" hidden="false" customHeight="false" outlineLevel="0" collapsed="false">
      <c r="B23" s="8" t="s">
        <v>93</v>
      </c>
      <c r="C23" s="8" t="n">
        <v>2027</v>
      </c>
      <c r="D23" s="10" t="n">
        <v>166197019.67</v>
      </c>
      <c r="E23" s="10" t="n">
        <v>132909942.66</v>
      </c>
      <c r="F23" s="10" t="n">
        <f aca="false">D23-E23</f>
        <v>33287077.01</v>
      </c>
      <c r="G23" s="11" t="n">
        <f aca="false">IFERROR(F23/D23,0)</f>
        <v>0.200286846756306</v>
      </c>
    </row>
    <row r="24" customFormat="false" ht="15" hidden="false" customHeight="false" outlineLevel="0" collapsed="false">
      <c r="B24" s="8" t="s">
        <v>93</v>
      </c>
      <c r="C24" s="8" t="n">
        <v>2028</v>
      </c>
      <c r="D24" s="10" t="n">
        <v>197774453.19</v>
      </c>
      <c r="E24" s="10" t="n">
        <v>151517334.92</v>
      </c>
      <c r="F24" s="10" t="n">
        <f aca="false">D24-E24</f>
        <v>46257118.27</v>
      </c>
      <c r="G24" s="11" t="n">
        <f aca="false">IFERROR(F24/D24,0)</f>
        <v>0.233888237453809</v>
      </c>
    </row>
    <row r="25" customFormat="false" ht="15" hidden="false" customHeight="false" outlineLevel="0" collapsed="false">
      <c r="B25" s="8" t="s">
        <v>93</v>
      </c>
      <c r="C25" s="8" t="n">
        <v>2029</v>
      </c>
      <c r="D25" s="10" t="n">
        <v>231396110.76</v>
      </c>
      <c r="E25" s="10" t="n">
        <v>171214587.99</v>
      </c>
      <c r="F25" s="10" t="n">
        <f aca="false">D25-E25</f>
        <v>60181522.77</v>
      </c>
      <c r="G25" s="11" t="n">
        <f aca="false">IFERROR(F25/D25,0)</f>
        <v>0.260080096300405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26.85" hidden="false" customHeight="false" outlineLevel="0" collapsed="false">
      <c r="A1" s="7" t="s">
        <v>102</v>
      </c>
      <c r="B1" s="7" t="s">
        <v>106</v>
      </c>
      <c r="C1" s="7" t="s">
        <v>107</v>
      </c>
      <c r="D1" s="7" t="s">
        <v>105</v>
      </c>
      <c r="E1" s="7" t="s">
        <v>108</v>
      </c>
    </row>
    <row r="2" customFormat="false" ht="15" hidden="false" customHeight="false" outlineLevel="0" collapsed="false">
      <c r="A2" s="8" t="n">
        <v>2027</v>
      </c>
      <c r="B2" s="9" t="n">
        <v>144143122</v>
      </c>
      <c r="C2" s="9" t="n">
        <v>127186548</v>
      </c>
      <c r="D2" s="10" t="n">
        <f aca="false">B2-C2</f>
        <v>16956574</v>
      </c>
      <c r="E2" s="11" t="n">
        <f aca="false">IFERROR(D2/B2,0)</f>
        <v>0.117637066304142</v>
      </c>
    </row>
    <row r="3" customFormat="false" ht="15" hidden="false" customHeight="false" outlineLevel="0" collapsed="false">
      <c r="A3" s="8" t="n">
        <v>2028</v>
      </c>
      <c r="B3" s="9" t="n">
        <v>171530315</v>
      </c>
      <c r="C3" s="9" t="n">
        <v>144992665</v>
      </c>
      <c r="D3" s="10" t="n">
        <f aca="false">B3-C3</f>
        <v>26537650</v>
      </c>
      <c r="E3" s="11" t="n">
        <f aca="false">IFERROR(D3/B3,0)</f>
        <v>0.154711136629114</v>
      </c>
    </row>
    <row r="4" customFormat="false" ht="15" hidden="false" customHeight="false" outlineLevel="0" collapsed="false">
      <c r="A4" s="8" t="n">
        <v>2029</v>
      </c>
      <c r="B4" s="9" t="n">
        <v>200690469</v>
      </c>
      <c r="C4" s="9" t="n">
        <v>163841711</v>
      </c>
      <c r="D4" s="10" t="n">
        <f aca="false">B4-C4</f>
        <v>36848758</v>
      </c>
      <c r="E4" s="11" t="n">
        <f aca="false">IFERROR(D4/B4,0)</f>
        <v>0.18360990526162</v>
      </c>
    </row>
    <row r="7" customFormat="false" ht="15" hidden="false" customHeight="false" outlineLevel="0" collapsed="false">
      <c r="A7" s="14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3" t="s">
        <v>110</v>
      </c>
    </row>
    <row r="3" customFormat="false" ht="15" hidden="false" customHeight="false" outlineLevel="0" collapsed="false">
      <c r="A3" s="7" t="s">
        <v>111</v>
      </c>
      <c r="B3" s="7" t="s">
        <v>112</v>
      </c>
      <c r="C3" s="7" t="s">
        <v>113</v>
      </c>
      <c r="D3" s="7" t="s">
        <v>114</v>
      </c>
    </row>
    <row r="4" customFormat="false" ht="15" hidden="false" customHeight="false" outlineLevel="0" collapsed="false">
      <c r="A4" s="8" t="s">
        <v>115</v>
      </c>
      <c r="B4" s="12" t="n">
        <v>0.0165</v>
      </c>
      <c r="C4" s="9" t="n">
        <v>92718</v>
      </c>
      <c r="D4" s="9" t="n">
        <v>83268</v>
      </c>
    </row>
    <row r="5" customFormat="false" ht="15" hidden="false" customHeight="false" outlineLevel="0" collapsed="false">
      <c r="A5" s="8" t="s">
        <v>116</v>
      </c>
      <c r="B5" s="12" t="n">
        <v>0.0265</v>
      </c>
      <c r="C5" s="9" t="n">
        <v>144394</v>
      </c>
      <c r="D5" s="9" t="n">
        <v>132032</v>
      </c>
    </row>
    <row r="6" customFormat="false" ht="15" hidden="false" customHeight="false" outlineLevel="0" collapsed="false">
      <c r="A6" s="8" t="s">
        <v>117</v>
      </c>
      <c r="B6" s="12" t="n">
        <v>0.0266</v>
      </c>
      <c r="C6" s="9" t="n">
        <v>177236</v>
      </c>
      <c r="D6" s="9" t="n">
        <v>136385</v>
      </c>
    </row>
    <row r="7" customFormat="false" ht="15" hidden="false" customHeight="false" outlineLevel="0" collapsed="false">
      <c r="A7" s="8" t="s">
        <v>118</v>
      </c>
      <c r="B7" s="12" t="n">
        <v>0.0267</v>
      </c>
      <c r="C7" s="9" t="n">
        <v>177488</v>
      </c>
      <c r="D7" s="9" t="n">
        <v>136928</v>
      </c>
    </row>
    <row r="8" customFormat="false" ht="15" hidden="false" customHeight="false" outlineLevel="0" collapsed="false">
      <c r="A8" s="8" t="s">
        <v>119</v>
      </c>
      <c r="B8" s="12" t="n">
        <v>0.0296</v>
      </c>
      <c r="C8" s="9" t="n">
        <v>193849</v>
      </c>
      <c r="D8" s="9" t="n">
        <v>152059</v>
      </c>
    </row>
    <row r="9" customFormat="false" ht="15" hidden="false" customHeight="false" outlineLevel="0" collapsed="false">
      <c r="A9" s="8" t="s">
        <v>120</v>
      </c>
      <c r="B9" s="12" t="n">
        <v>0.0311</v>
      </c>
      <c r="C9" s="9" t="n">
        <v>200954</v>
      </c>
      <c r="D9" s="9" t="n">
        <v>159412</v>
      </c>
    </row>
    <row r="12" customFormat="false" ht="15" hidden="false" customHeight="false" outlineLevel="0" collapsed="false">
      <c r="A12" s="14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26.85" hidden="false" customHeight="false" outlineLevel="0" collapsed="false">
      <c r="A1" s="7" t="s">
        <v>21</v>
      </c>
      <c r="B1" s="7" t="s">
        <v>122</v>
      </c>
      <c r="C1" s="7" t="s">
        <v>123</v>
      </c>
      <c r="D1" s="7" t="s">
        <v>124</v>
      </c>
      <c r="E1" s="7" t="s">
        <v>125</v>
      </c>
      <c r="F1" s="7" t="s">
        <v>126</v>
      </c>
      <c r="G1" s="7" t="s">
        <v>127</v>
      </c>
      <c r="H1" s="7" t="s">
        <v>128</v>
      </c>
      <c r="I1" s="7" t="s">
        <v>129</v>
      </c>
    </row>
    <row r="2" customFormat="false" ht="15" hidden="false" customHeight="false" outlineLevel="0" collapsed="false">
      <c r="A2" s="8" t="s">
        <v>29</v>
      </c>
      <c r="B2" s="8" t="s">
        <v>130</v>
      </c>
      <c r="C2" s="15" t="n">
        <v>1233.3</v>
      </c>
      <c r="D2" s="9" t="n">
        <v>856.7</v>
      </c>
      <c r="E2" s="10" t="n">
        <f aca="false">C2*D2</f>
        <v>1056568.11</v>
      </c>
      <c r="F2" s="15" t="n">
        <v>54.4</v>
      </c>
      <c r="G2" s="15" t="n">
        <v>21.2</v>
      </c>
      <c r="H2" s="16" t="n">
        <f aca="false">F2-G2</f>
        <v>33.2</v>
      </c>
      <c r="I2" s="11" t="n">
        <f aca="false">IFERROR(G2/C2,0)</f>
        <v>0.0171896537744263</v>
      </c>
    </row>
    <row r="3" customFormat="false" ht="15" hidden="false" customHeight="false" outlineLevel="0" collapsed="false">
      <c r="A3" s="8" t="s">
        <v>29</v>
      </c>
      <c r="B3" s="8" t="s">
        <v>131</v>
      </c>
      <c r="C3" s="15" t="n">
        <v>660.5</v>
      </c>
      <c r="D3" s="9" t="n">
        <v>1154.13</v>
      </c>
      <c r="E3" s="10" t="n">
        <f aca="false">C3*D3</f>
        <v>762302.865</v>
      </c>
      <c r="F3" s="15" t="n">
        <v>32.9</v>
      </c>
      <c r="G3" s="15" t="n">
        <v>12.4</v>
      </c>
      <c r="H3" s="16" t="n">
        <f aca="false">F3-G3</f>
        <v>20.5</v>
      </c>
      <c r="I3" s="11" t="n">
        <f aca="false">IFERROR(G3/C3,0)</f>
        <v>0.018773656320969</v>
      </c>
    </row>
    <row r="4" customFormat="false" ht="15" hidden="false" customHeight="false" outlineLevel="0" collapsed="false">
      <c r="A4" s="8" t="s">
        <v>29</v>
      </c>
      <c r="B4" s="8" t="s">
        <v>132</v>
      </c>
      <c r="C4" s="15" t="n">
        <v>301.8</v>
      </c>
      <c r="D4" s="9" t="n">
        <v>2196</v>
      </c>
      <c r="E4" s="10" t="n">
        <f aca="false">C4*D4</f>
        <v>662752.8</v>
      </c>
      <c r="F4" s="15" t="n">
        <v>11.8</v>
      </c>
      <c r="G4" s="15" t="n">
        <v>10</v>
      </c>
      <c r="H4" s="16" t="n">
        <f aca="false">F4-G4</f>
        <v>1.8</v>
      </c>
      <c r="I4" s="11" t="n">
        <f aca="false">IFERROR(G4/C4,0)</f>
        <v>0.0331345261762757</v>
      </c>
    </row>
    <row r="5" customFormat="false" ht="15" hidden="false" customHeight="false" outlineLevel="0" collapsed="false">
      <c r="A5" s="8" t="s">
        <v>30</v>
      </c>
      <c r="B5" s="8" t="s">
        <v>130</v>
      </c>
      <c r="C5" s="15" t="n">
        <v>1263</v>
      </c>
      <c r="D5" s="9" t="n">
        <v>861.37</v>
      </c>
      <c r="E5" s="10" t="n">
        <f aca="false">C5*D5</f>
        <v>1087910.31</v>
      </c>
      <c r="F5" s="15" t="n">
        <v>50.4</v>
      </c>
      <c r="G5" s="15" t="n">
        <v>20.6</v>
      </c>
      <c r="H5" s="16" t="n">
        <f aca="false">F5-G5</f>
        <v>29.8</v>
      </c>
      <c r="I5" s="11" t="n">
        <f aca="false">IFERROR(G5/C5,0)</f>
        <v>0.0163103721298496</v>
      </c>
    </row>
    <row r="6" customFormat="false" ht="15" hidden="false" customHeight="false" outlineLevel="0" collapsed="false">
      <c r="A6" s="8" t="s">
        <v>30</v>
      </c>
      <c r="B6" s="8" t="s">
        <v>131</v>
      </c>
      <c r="C6" s="15" t="n">
        <v>669.1</v>
      </c>
      <c r="D6" s="9" t="n">
        <v>1156.01</v>
      </c>
      <c r="E6" s="10" t="n">
        <f aca="false">C6*D6</f>
        <v>773486.291</v>
      </c>
      <c r="F6" s="15" t="n">
        <v>18.4</v>
      </c>
      <c r="G6" s="15" t="n">
        <v>9.8</v>
      </c>
      <c r="H6" s="16" t="n">
        <f aca="false">F6-G6</f>
        <v>8.6</v>
      </c>
      <c r="I6" s="11" t="n">
        <f aca="false">IFERROR(G6/C6,0)</f>
        <v>0.0146465401285309</v>
      </c>
    </row>
    <row r="7" customFormat="false" ht="15" hidden="false" customHeight="false" outlineLevel="0" collapsed="false">
      <c r="A7" s="8" t="s">
        <v>30</v>
      </c>
      <c r="B7" s="8" t="s">
        <v>132</v>
      </c>
      <c r="C7" s="15" t="n">
        <v>300.5</v>
      </c>
      <c r="D7" s="9" t="n">
        <v>2186.23</v>
      </c>
      <c r="E7" s="10" t="n">
        <f aca="false">C7*D7</f>
        <v>656962.115</v>
      </c>
      <c r="F7" s="15" t="n">
        <v>8.2</v>
      </c>
      <c r="G7" s="15" t="n">
        <v>9.5</v>
      </c>
      <c r="H7" s="16" t="n">
        <f aca="false">F7-G7</f>
        <v>-1.3</v>
      </c>
      <c r="I7" s="11" t="n">
        <f aca="false">IFERROR(G7/C7,0)</f>
        <v>0.0316139767054909</v>
      </c>
    </row>
    <row r="8" customFormat="false" ht="15" hidden="false" customHeight="false" outlineLevel="0" collapsed="false">
      <c r="A8" s="8" t="s">
        <v>31</v>
      </c>
      <c r="B8" s="8" t="s">
        <v>130</v>
      </c>
      <c r="C8" s="15" t="n">
        <v>1310.6</v>
      </c>
      <c r="D8" s="9" t="n">
        <v>865.17</v>
      </c>
      <c r="E8" s="10" t="n">
        <f aca="false">C8*D8</f>
        <v>1133891.802</v>
      </c>
      <c r="F8" s="15" t="n">
        <v>69.5</v>
      </c>
      <c r="G8" s="15" t="n">
        <v>22</v>
      </c>
      <c r="H8" s="16" t="n">
        <f aca="false">F8-G8</f>
        <v>47.5</v>
      </c>
      <c r="I8" s="11" t="n">
        <f aca="false">IFERROR(G8/C8,0)</f>
        <v>0.0167862047916985</v>
      </c>
    </row>
    <row r="9" customFormat="false" ht="15" hidden="false" customHeight="false" outlineLevel="0" collapsed="false">
      <c r="A9" s="8" t="s">
        <v>31</v>
      </c>
      <c r="B9" s="8" t="s">
        <v>131</v>
      </c>
      <c r="C9" s="15" t="n">
        <v>677.6</v>
      </c>
      <c r="D9" s="9" t="n">
        <v>1162.56</v>
      </c>
      <c r="E9" s="10" t="n">
        <f aca="false">C9*D9</f>
        <v>787750.656</v>
      </c>
      <c r="F9" s="15" t="n">
        <v>20.8</v>
      </c>
      <c r="G9" s="15" t="n">
        <v>12.3</v>
      </c>
      <c r="H9" s="16" t="n">
        <f aca="false">F9-G9</f>
        <v>8.5</v>
      </c>
      <c r="I9" s="11" t="n">
        <f aca="false">IFERROR(G9/C9,0)</f>
        <v>0.0181523022432113</v>
      </c>
    </row>
    <row r="10" customFormat="false" ht="15" hidden="false" customHeight="false" outlineLevel="0" collapsed="false">
      <c r="A10" s="8" t="s">
        <v>31</v>
      </c>
      <c r="B10" s="8" t="s">
        <v>132</v>
      </c>
      <c r="C10" s="15" t="n">
        <v>298.9</v>
      </c>
      <c r="D10" s="9" t="n">
        <v>2180.54</v>
      </c>
      <c r="E10" s="10" t="n">
        <f aca="false">C10*D10</f>
        <v>651763.406</v>
      </c>
      <c r="F10" s="15" t="n">
        <v>7.9</v>
      </c>
      <c r="G10" s="15" t="n">
        <v>9.5</v>
      </c>
      <c r="H10" s="16" t="n">
        <f aca="false">F10-G10</f>
        <v>-1.6</v>
      </c>
      <c r="I10" s="11" t="n">
        <f aca="false">IFERROR(G10/C10,0)</f>
        <v>0.0317832050853128</v>
      </c>
    </row>
    <row r="11" customFormat="false" ht="15" hidden="false" customHeight="false" outlineLevel="0" collapsed="false">
      <c r="A11" s="8" t="s">
        <v>32</v>
      </c>
      <c r="B11" s="8" t="s">
        <v>130</v>
      </c>
      <c r="C11" s="15" t="n">
        <v>1332.2</v>
      </c>
      <c r="D11" s="9" t="n">
        <v>868.56</v>
      </c>
      <c r="E11" s="10" t="n">
        <f aca="false">C11*D11</f>
        <v>1157095.632</v>
      </c>
      <c r="F11" s="15" t="n">
        <v>51.8</v>
      </c>
      <c r="G11" s="15" t="n">
        <v>30.1</v>
      </c>
      <c r="H11" s="16" t="n">
        <f aca="false">F11-G11</f>
        <v>21.7</v>
      </c>
      <c r="I11" s="11" t="n">
        <f aca="false">IFERROR(G11/C11,0)</f>
        <v>0.0225942050743132</v>
      </c>
    </row>
    <row r="12" customFormat="false" ht="15" hidden="false" customHeight="false" outlineLevel="0" collapsed="false">
      <c r="A12" s="8" t="s">
        <v>32</v>
      </c>
      <c r="B12" s="8" t="s">
        <v>131</v>
      </c>
      <c r="C12" s="15" t="n">
        <v>686.5</v>
      </c>
      <c r="D12" s="9" t="n">
        <v>1159.86</v>
      </c>
      <c r="E12" s="10" t="n">
        <f aca="false">C12*D12</f>
        <v>796243.89</v>
      </c>
      <c r="F12" s="15" t="n">
        <v>24.1</v>
      </c>
      <c r="G12" s="15" t="n">
        <v>15.2</v>
      </c>
      <c r="H12" s="16" t="n">
        <f aca="false">F12-G12</f>
        <v>8.9</v>
      </c>
      <c r="I12" s="11" t="n">
        <f aca="false">IFERROR(G12/C12,0)</f>
        <v>0.0221412964311726</v>
      </c>
    </row>
    <row r="13" customFormat="false" ht="15" hidden="false" customHeight="false" outlineLevel="0" collapsed="false">
      <c r="A13" s="8" t="s">
        <v>32</v>
      </c>
      <c r="B13" s="8" t="s">
        <v>132</v>
      </c>
      <c r="C13" s="15" t="n">
        <v>303.5</v>
      </c>
      <c r="D13" s="9" t="n">
        <v>2165.35</v>
      </c>
      <c r="E13" s="10" t="n">
        <f aca="false">C13*D13</f>
        <v>657183.725</v>
      </c>
      <c r="F13" s="15" t="n">
        <v>10.9</v>
      </c>
      <c r="G13" s="15" t="n">
        <v>6.3</v>
      </c>
      <c r="H13" s="16" t="n">
        <f aca="false">F13-G13</f>
        <v>4.6</v>
      </c>
      <c r="I13" s="11" t="n">
        <f aca="false">IFERROR(G13/C13,0)</f>
        <v>0.0207578253706755</v>
      </c>
    </row>
    <row r="14" customFormat="false" ht="15" hidden="false" customHeight="false" outlineLevel="0" collapsed="false">
      <c r="A14" s="8" t="s">
        <v>33</v>
      </c>
      <c r="B14" s="8" t="s">
        <v>130</v>
      </c>
      <c r="C14" s="15" t="n">
        <v>1369.9</v>
      </c>
      <c r="D14" s="9" t="n">
        <v>871.43</v>
      </c>
      <c r="E14" s="10" t="n">
        <f aca="false">C14*D14</f>
        <v>1193771.957</v>
      </c>
      <c r="F14" s="15" t="n">
        <v>62.3</v>
      </c>
      <c r="G14" s="15" t="n">
        <v>24.6</v>
      </c>
      <c r="H14" s="16" t="n">
        <f aca="false">F14-G14</f>
        <v>37.7</v>
      </c>
      <c r="I14" s="11" t="n">
        <f aca="false">IFERROR(G14/C14,0)</f>
        <v>0.017957515147091</v>
      </c>
    </row>
    <row r="15" customFormat="false" ht="15" hidden="false" customHeight="false" outlineLevel="0" collapsed="false">
      <c r="A15" s="8" t="s">
        <v>33</v>
      </c>
      <c r="B15" s="8" t="s">
        <v>131</v>
      </c>
      <c r="C15" s="15" t="n">
        <v>702.3</v>
      </c>
      <c r="D15" s="9" t="n">
        <v>1160.65</v>
      </c>
      <c r="E15" s="10" t="n">
        <f aca="false">C15*D15</f>
        <v>815124.495</v>
      </c>
      <c r="F15" s="15" t="n">
        <v>26.5</v>
      </c>
      <c r="G15" s="15" t="n">
        <v>10.7</v>
      </c>
      <c r="H15" s="16" t="n">
        <f aca="false">F15-G15</f>
        <v>15.8</v>
      </c>
      <c r="I15" s="11" t="n">
        <f aca="false">IFERROR(G15/C15,0)</f>
        <v>0.0152356542787982</v>
      </c>
    </row>
    <row r="16" customFormat="false" ht="15" hidden="false" customHeight="false" outlineLevel="0" collapsed="false">
      <c r="A16" s="8" t="s">
        <v>33</v>
      </c>
      <c r="B16" s="8" t="s">
        <v>132</v>
      </c>
      <c r="C16" s="15" t="n">
        <v>302.1</v>
      </c>
      <c r="D16" s="9" t="n">
        <v>2171.98</v>
      </c>
      <c r="E16" s="10" t="n">
        <f aca="false">C16*D16</f>
        <v>656155.158</v>
      </c>
      <c r="F16" s="15" t="n">
        <v>9.2</v>
      </c>
      <c r="G16" s="15" t="n">
        <v>10.5</v>
      </c>
      <c r="H16" s="16" t="n">
        <f aca="false">F16-G16</f>
        <v>-1.3</v>
      </c>
      <c r="I16" s="11" t="n">
        <f aca="false">IFERROR(G16/C16,0)</f>
        <v>0.0347567030784508</v>
      </c>
    </row>
    <row r="17" customFormat="false" ht="15" hidden="false" customHeight="false" outlineLevel="0" collapsed="false">
      <c r="A17" s="8" t="s">
        <v>34</v>
      </c>
      <c r="B17" s="8" t="s">
        <v>130</v>
      </c>
      <c r="C17" s="15" t="n">
        <v>1407.7</v>
      </c>
      <c r="D17" s="9" t="n">
        <v>871.38</v>
      </c>
      <c r="E17" s="10" t="n">
        <f aca="false">C17*D17</f>
        <v>1226641.626</v>
      </c>
      <c r="F17" s="15" t="n">
        <v>61</v>
      </c>
      <c r="G17" s="15" t="n">
        <v>23.2</v>
      </c>
      <c r="H17" s="16" t="n">
        <f aca="false">F17-G17</f>
        <v>37.8</v>
      </c>
      <c r="I17" s="11" t="n">
        <f aca="false">IFERROR(G17/C17,0)</f>
        <v>0.0164807842580095</v>
      </c>
    </row>
    <row r="18" customFormat="false" ht="15" hidden="false" customHeight="false" outlineLevel="0" collapsed="false">
      <c r="A18" s="8" t="s">
        <v>34</v>
      </c>
      <c r="B18" s="8" t="s">
        <v>131</v>
      </c>
      <c r="C18" s="15" t="n">
        <v>718.5</v>
      </c>
      <c r="D18" s="9" t="n">
        <v>1172.94</v>
      </c>
      <c r="E18" s="10" t="n">
        <f aca="false">C18*D18</f>
        <v>842757.39</v>
      </c>
      <c r="F18" s="15" t="n">
        <v>32.5</v>
      </c>
      <c r="G18" s="15" t="n">
        <v>16.2</v>
      </c>
      <c r="H18" s="16" t="n">
        <f aca="false">F18-G18</f>
        <v>16.3</v>
      </c>
      <c r="I18" s="11" t="n">
        <f aca="false">IFERROR(G18/C18,0)</f>
        <v>0.0225469728601253</v>
      </c>
    </row>
    <row r="19" customFormat="false" ht="15" hidden="false" customHeight="false" outlineLevel="0" collapsed="false">
      <c r="A19" s="8" t="s">
        <v>34</v>
      </c>
      <c r="B19" s="8" t="s">
        <v>132</v>
      </c>
      <c r="C19" s="15" t="n">
        <v>302.4</v>
      </c>
      <c r="D19" s="9" t="n">
        <v>2178.46</v>
      </c>
      <c r="E19" s="10" t="n">
        <f aca="false">C19*D19</f>
        <v>658766.304</v>
      </c>
      <c r="F19" s="15" t="n">
        <v>9</v>
      </c>
      <c r="G19" s="15" t="n">
        <v>8.6</v>
      </c>
      <c r="H19" s="16" t="n">
        <f aca="false">F19-G19</f>
        <v>0.4</v>
      </c>
      <c r="I19" s="11" t="n">
        <f aca="false">IFERROR(G19/C19,0)</f>
        <v>0.0284391534391534</v>
      </c>
    </row>
    <row r="20" customFormat="false" ht="15" hidden="false" customHeight="false" outlineLevel="0" collapsed="false">
      <c r="A20" s="8" t="s">
        <v>35</v>
      </c>
      <c r="B20" s="8" t="s">
        <v>130</v>
      </c>
      <c r="C20" s="15" t="n">
        <v>1425</v>
      </c>
      <c r="D20" s="9" t="n">
        <v>869.08</v>
      </c>
      <c r="E20" s="10" t="n">
        <f aca="false">C20*D20</f>
        <v>1238439</v>
      </c>
      <c r="F20" s="15" t="n">
        <v>42</v>
      </c>
      <c r="G20" s="15" t="n">
        <v>24.6</v>
      </c>
      <c r="H20" s="16" t="n">
        <f aca="false">F20-G20</f>
        <v>17.4</v>
      </c>
      <c r="I20" s="11" t="n">
        <f aca="false">IFERROR(G20/C20,0)</f>
        <v>0.0172631578947368</v>
      </c>
    </row>
    <row r="21" customFormat="false" ht="15" hidden="false" customHeight="false" outlineLevel="0" collapsed="false">
      <c r="A21" s="8" t="s">
        <v>35</v>
      </c>
      <c r="B21" s="8" t="s">
        <v>131</v>
      </c>
      <c r="C21" s="15" t="n">
        <v>720.2</v>
      </c>
      <c r="D21" s="9" t="n">
        <v>1188.35</v>
      </c>
      <c r="E21" s="10" t="n">
        <f aca="false">C21*D21</f>
        <v>855849.67</v>
      </c>
      <c r="F21" s="15" t="n">
        <v>17.8</v>
      </c>
      <c r="G21" s="15" t="n">
        <v>16.1</v>
      </c>
      <c r="H21" s="16" t="n">
        <f aca="false">F21-G21</f>
        <v>1.7</v>
      </c>
      <c r="I21" s="11" t="n">
        <f aca="false">IFERROR(G21/C21,0)</f>
        <v>0.0223549014162733</v>
      </c>
    </row>
    <row r="22" customFormat="false" ht="15" hidden="false" customHeight="false" outlineLevel="0" collapsed="false">
      <c r="A22" s="8" t="s">
        <v>35</v>
      </c>
      <c r="B22" s="8" t="s">
        <v>132</v>
      </c>
      <c r="C22" s="15" t="n">
        <v>300.4</v>
      </c>
      <c r="D22" s="9" t="n">
        <v>2185.37</v>
      </c>
      <c r="E22" s="10" t="n">
        <f aca="false">C22*D22</f>
        <v>656485.148</v>
      </c>
      <c r="F22" s="15" t="n">
        <v>8.4</v>
      </c>
      <c r="G22" s="15" t="n">
        <v>10.4</v>
      </c>
      <c r="H22" s="16" t="n">
        <f aca="false">F22-G22</f>
        <v>-2</v>
      </c>
      <c r="I22" s="11" t="n">
        <f aca="false">IFERROR(G22/C22,0)</f>
        <v>0.0346205059920107</v>
      </c>
    </row>
    <row r="23" customFormat="false" ht="15" hidden="false" customHeight="false" outlineLevel="0" collapsed="false">
      <c r="A23" s="8" t="s">
        <v>36</v>
      </c>
      <c r="B23" s="8" t="s">
        <v>130</v>
      </c>
      <c r="C23" s="15" t="n">
        <v>1443.8</v>
      </c>
      <c r="D23" s="9" t="n">
        <v>872.37</v>
      </c>
      <c r="E23" s="10" t="n">
        <f aca="false">C23*D23</f>
        <v>1259527.806</v>
      </c>
      <c r="F23" s="15" t="n">
        <v>50.3</v>
      </c>
      <c r="G23" s="15" t="n">
        <v>31.6</v>
      </c>
      <c r="H23" s="16" t="n">
        <f aca="false">F23-G23</f>
        <v>18.7</v>
      </c>
      <c r="I23" s="11" t="n">
        <f aca="false">IFERROR(G23/C23,0)</f>
        <v>0.0218866879069123</v>
      </c>
    </row>
    <row r="24" customFormat="false" ht="15" hidden="false" customHeight="false" outlineLevel="0" collapsed="false">
      <c r="A24" s="8" t="s">
        <v>36</v>
      </c>
      <c r="B24" s="8" t="s">
        <v>131</v>
      </c>
      <c r="C24" s="15" t="n">
        <v>743.1</v>
      </c>
      <c r="D24" s="9" t="n">
        <v>1200.15</v>
      </c>
      <c r="E24" s="10" t="n">
        <f aca="false">C24*D24</f>
        <v>891831.465</v>
      </c>
      <c r="F24" s="15" t="n">
        <v>31.7</v>
      </c>
      <c r="G24" s="15" t="n">
        <v>8.7</v>
      </c>
      <c r="H24" s="16" t="n">
        <f aca="false">F24-G24</f>
        <v>23</v>
      </c>
      <c r="I24" s="11" t="n">
        <f aca="false">IFERROR(G24/C24,0)</f>
        <v>0.011707710940654</v>
      </c>
    </row>
    <row r="25" customFormat="false" ht="15" hidden="false" customHeight="false" outlineLevel="0" collapsed="false">
      <c r="A25" s="8" t="s">
        <v>36</v>
      </c>
      <c r="B25" s="8" t="s">
        <v>132</v>
      </c>
      <c r="C25" s="15" t="n">
        <v>300.4</v>
      </c>
      <c r="D25" s="9" t="n">
        <v>2188.76</v>
      </c>
      <c r="E25" s="10" t="n">
        <f aca="false">C25*D25</f>
        <v>657503.504</v>
      </c>
      <c r="F25" s="15" t="n">
        <v>8.7</v>
      </c>
      <c r="G25" s="15" t="n">
        <v>8.6</v>
      </c>
      <c r="H25" s="16" t="n">
        <f aca="false">F25-G25</f>
        <v>0.0999999999999996</v>
      </c>
      <c r="I25" s="11" t="n">
        <f aca="false">IFERROR(G25/C25,0)</f>
        <v>0.0286284953395473</v>
      </c>
    </row>
    <row r="26" customFormat="false" ht="15" hidden="false" customHeight="false" outlineLevel="0" collapsed="false">
      <c r="A26" s="8" t="s">
        <v>37</v>
      </c>
      <c r="B26" s="8" t="s">
        <v>130</v>
      </c>
      <c r="C26" s="15" t="n">
        <v>1472</v>
      </c>
      <c r="D26" s="9" t="n">
        <v>883.59</v>
      </c>
      <c r="E26" s="10" t="n">
        <f aca="false">C26*D26</f>
        <v>1300644.48</v>
      </c>
      <c r="F26" s="15" t="n">
        <v>55.6</v>
      </c>
      <c r="G26" s="15" t="n">
        <v>27.4</v>
      </c>
      <c r="H26" s="16" t="n">
        <f aca="false">F26-G26</f>
        <v>28.2</v>
      </c>
      <c r="I26" s="11" t="n">
        <f aca="false">IFERROR(G26/C26,0)</f>
        <v>0.0186141304347826</v>
      </c>
    </row>
    <row r="27" customFormat="false" ht="15" hidden="false" customHeight="false" outlineLevel="0" collapsed="false">
      <c r="A27" s="8" t="s">
        <v>37</v>
      </c>
      <c r="B27" s="8" t="s">
        <v>131</v>
      </c>
      <c r="C27" s="15" t="n">
        <v>756.8</v>
      </c>
      <c r="D27" s="9" t="n">
        <v>1202.54</v>
      </c>
      <c r="E27" s="10" t="n">
        <f aca="false">C27*D27</f>
        <v>910082.272</v>
      </c>
      <c r="F27" s="15" t="n">
        <v>26.8</v>
      </c>
      <c r="G27" s="15" t="n">
        <v>13.1</v>
      </c>
      <c r="H27" s="16" t="n">
        <f aca="false">F27-G27</f>
        <v>13.7</v>
      </c>
      <c r="I27" s="11" t="n">
        <f aca="false">IFERROR(G27/C27,0)</f>
        <v>0.0173097251585624</v>
      </c>
    </row>
    <row r="28" customFormat="false" ht="15" hidden="false" customHeight="false" outlineLevel="0" collapsed="false">
      <c r="A28" s="8" t="s">
        <v>37</v>
      </c>
      <c r="B28" s="8" t="s">
        <v>132</v>
      </c>
      <c r="C28" s="15" t="n">
        <v>303.1</v>
      </c>
      <c r="D28" s="9" t="n">
        <v>2183.99</v>
      </c>
      <c r="E28" s="10" t="n">
        <f aca="false">C28*D28</f>
        <v>661967.369</v>
      </c>
      <c r="F28" s="15" t="n">
        <v>12.1</v>
      </c>
      <c r="G28" s="15" t="n">
        <v>9.5</v>
      </c>
      <c r="H28" s="16" t="n">
        <f aca="false">F28-G28</f>
        <v>2.6</v>
      </c>
      <c r="I28" s="11" t="n">
        <f aca="false">IFERROR(G28/C28,0)</f>
        <v>0.0313427911580337</v>
      </c>
    </row>
    <row r="29" customFormat="false" ht="15" hidden="false" customHeight="false" outlineLevel="0" collapsed="false">
      <c r="A29" s="8" t="s">
        <v>38</v>
      </c>
      <c r="B29" s="8" t="s">
        <v>130</v>
      </c>
      <c r="C29" s="15" t="n">
        <v>1503.1</v>
      </c>
      <c r="D29" s="9" t="n">
        <v>883.41</v>
      </c>
      <c r="E29" s="10" t="n">
        <f aca="false">C29*D29</f>
        <v>1327853.571</v>
      </c>
      <c r="F29" s="15" t="n">
        <v>61.5</v>
      </c>
      <c r="G29" s="15" t="n">
        <v>30.3</v>
      </c>
      <c r="H29" s="16" t="n">
        <f aca="false">F29-G29</f>
        <v>31.2</v>
      </c>
      <c r="I29" s="11" t="n">
        <f aca="false">IFERROR(G29/C29,0)</f>
        <v>0.0201583394318409</v>
      </c>
    </row>
    <row r="30" customFormat="false" ht="15" hidden="false" customHeight="false" outlineLevel="0" collapsed="false">
      <c r="A30" s="8" t="s">
        <v>38</v>
      </c>
      <c r="B30" s="8" t="s">
        <v>131</v>
      </c>
      <c r="C30" s="15" t="n">
        <v>771.7</v>
      </c>
      <c r="D30" s="9" t="n">
        <v>1197.99</v>
      </c>
      <c r="E30" s="10" t="n">
        <f aca="false">C30*D30</f>
        <v>924488.883</v>
      </c>
      <c r="F30" s="15" t="n">
        <v>29.1</v>
      </c>
      <c r="G30" s="15" t="n">
        <v>14.2</v>
      </c>
      <c r="H30" s="16" t="n">
        <f aca="false">F30-G30</f>
        <v>14.9</v>
      </c>
      <c r="I30" s="11" t="n">
        <f aca="false">IFERROR(G30/C30,0)</f>
        <v>0.0184009330050538</v>
      </c>
    </row>
    <row r="31" customFormat="false" ht="15" hidden="false" customHeight="false" outlineLevel="0" collapsed="false">
      <c r="A31" s="8" t="s">
        <v>38</v>
      </c>
      <c r="B31" s="8" t="s">
        <v>132</v>
      </c>
      <c r="C31" s="15" t="n">
        <v>305.2</v>
      </c>
      <c r="D31" s="9" t="n">
        <v>2186.24</v>
      </c>
      <c r="E31" s="10" t="n">
        <f aca="false">C31*D31</f>
        <v>667240.448</v>
      </c>
      <c r="F31" s="15" t="n">
        <v>11.5</v>
      </c>
      <c r="G31" s="15" t="n">
        <v>9.4</v>
      </c>
      <c r="H31" s="16" t="n">
        <f aca="false">F31-G31</f>
        <v>2.1</v>
      </c>
      <c r="I31" s="11" t="n">
        <f aca="false">IFERROR(G31/C31,0)</f>
        <v>0.0307994757536042</v>
      </c>
    </row>
    <row r="32" customFormat="false" ht="15" hidden="false" customHeight="false" outlineLevel="0" collapsed="false">
      <c r="A32" s="8" t="s">
        <v>39</v>
      </c>
      <c r="B32" s="8" t="s">
        <v>130</v>
      </c>
      <c r="C32" s="15" t="n">
        <v>1524.2</v>
      </c>
      <c r="D32" s="9" t="n">
        <v>885.12</v>
      </c>
      <c r="E32" s="10" t="n">
        <f aca="false">C32*D32</f>
        <v>1349099.904</v>
      </c>
      <c r="F32" s="15" t="n">
        <v>46.5</v>
      </c>
      <c r="G32" s="15" t="n">
        <v>25.3</v>
      </c>
      <c r="H32" s="16" t="n">
        <f aca="false">F32-G32</f>
        <v>21.2</v>
      </c>
      <c r="I32" s="11" t="n">
        <f aca="false">IFERROR(G32/C32,0)</f>
        <v>0.0165988715391681</v>
      </c>
    </row>
    <row r="33" customFormat="false" ht="15" hidden="false" customHeight="false" outlineLevel="0" collapsed="false">
      <c r="A33" s="8" t="s">
        <v>39</v>
      </c>
      <c r="B33" s="8" t="s">
        <v>131</v>
      </c>
      <c r="C33" s="15" t="n">
        <v>783.4</v>
      </c>
      <c r="D33" s="9" t="n">
        <v>1206.88</v>
      </c>
      <c r="E33" s="10" t="n">
        <f aca="false">C33*D33</f>
        <v>945469.792</v>
      </c>
      <c r="F33" s="15" t="n">
        <v>26.8</v>
      </c>
      <c r="G33" s="15" t="n">
        <v>15.1</v>
      </c>
      <c r="H33" s="16" t="n">
        <f aca="false">F33-G33</f>
        <v>11.7</v>
      </c>
      <c r="I33" s="11" t="n">
        <f aca="false">IFERROR(G33/C33,0)</f>
        <v>0.0192749553229512</v>
      </c>
    </row>
    <row r="34" customFormat="false" ht="15" hidden="false" customHeight="false" outlineLevel="0" collapsed="false">
      <c r="A34" s="8" t="s">
        <v>39</v>
      </c>
      <c r="B34" s="8" t="s">
        <v>132</v>
      </c>
      <c r="C34" s="15" t="n">
        <v>310.2</v>
      </c>
      <c r="D34" s="9" t="n">
        <v>2191.81</v>
      </c>
      <c r="E34" s="10" t="n">
        <f aca="false">C34*D34</f>
        <v>679899.462</v>
      </c>
      <c r="F34" s="15" t="n">
        <v>14.4</v>
      </c>
      <c r="G34" s="15" t="n">
        <v>9.4</v>
      </c>
      <c r="H34" s="16" t="n">
        <f aca="false">F34-G34</f>
        <v>5</v>
      </c>
      <c r="I34" s="11" t="n">
        <f aca="false">IFERROR(G34/C34,0)</f>
        <v>0.0303030303030303</v>
      </c>
    </row>
    <row r="35" customFormat="false" ht="15" hidden="false" customHeight="false" outlineLevel="0" collapsed="false">
      <c r="A35" s="8" t="s">
        <v>40</v>
      </c>
      <c r="B35" s="8" t="s">
        <v>130</v>
      </c>
      <c r="C35" s="15" t="n">
        <v>1546.7</v>
      </c>
      <c r="D35" s="9" t="n">
        <v>888.98</v>
      </c>
      <c r="E35" s="10" t="n">
        <f aca="false">C35*D35</f>
        <v>1374985.366</v>
      </c>
      <c r="F35" s="15" t="n">
        <v>49.8</v>
      </c>
      <c r="G35" s="15" t="n">
        <v>27.3</v>
      </c>
      <c r="H35" s="16" t="n">
        <f aca="false">F35-G35</f>
        <v>22.5</v>
      </c>
      <c r="I35" s="11" t="n">
        <f aca="false">IFERROR(G35/C35,0)</f>
        <v>0.0176504816706537</v>
      </c>
    </row>
    <row r="36" customFormat="false" ht="15" hidden="false" customHeight="false" outlineLevel="0" collapsed="false">
      <c r="A36" s="8" t="s">
        <v>40</v>
      </c>
      <c r="B36" s="8" t="s">
        <v>131</v>
      </c>
      <c r="C36" s="15" t="n">
        <v>815.6</v>
      </c>
      <c r="D36" s="9" t="n">
        <v>1215.1</v>
      </c>
      <c r="E36" s="10" t="n">
        <f aca="false">C36*D36</f>
        <v>991035.56</v>
      </c>
      <c r="F36" s="15" t="n">
        <v>47.4</v>
      </c>
      <c r="G36" s="15" t="n">
        <v>15.2</v>
      </c>
      <c r="H36" s="16" t="n">
        <f aca="false">F36-G36</f>
        <v>32.2</v>
      </c>
      <c r="I36" s="11" t="n">
        <f aca="false">IFERROR(G36/C36,0)</f>
        <v>0.0186365865620402</v>
      </c>
    </row>
    <row r="37" customFormat="false" ht="15" hidden="false" customHeight="false" outlineLevel="0" collapsed="false">
      <c r="A37" s="8" t="s">
        <v>40</v>
      </c>
      <c r="B37" s="8" t="s">
        <v>132</v>
      </c>
      <c r="C37" s="15" t="n">
        <v>314.9</v>
      </c>
      <c r="D37" s="9" t="n">
        <v>2209.03</v>
      </c>
      <c r="E37" s="10" t="n">
        <f aca="false">C37*D37</f>
        <v>695623.547</v>
      </c>
      <c r="F37" s="15" t="n">
        <v>12.4</v>
      </c>
      <c r="G37" s="15" t="n">
        <v>7.7</v>
      </c>
      <c r="H37" s="16" t="n">
        <f aca="false">F37-G37</f>
        <v>4.7</v>
      </c>
      <c r="I37" s="11" t="n">
        <f aca="false">IFERROR(G37/C37,0)</f>
        <v>0.0244522070498571</v>
      </c>
    </row>
    <row r="38" customFormat="false" ht="15" hidden="false" customHeight="false" outlineLevel="0" collapsed="false">
      <c r="A38" s="8" t="s">
        <v>41</v>
      </c>
      <c r="B38" s="8" t="s">
        <v>130</v>
      </c>
      <c r="C38" s="15" t="n">
        <v>1580</v>
      </c>
      <c r="D38" s="9" t="n">
        <v>900.02</v>
      </c>
      <c r="E38" s="10" t="n">
        <f aca="false">C38*D38</f>
        <v>1422031.6</v>
      </c>
      <c r="F38" s="15" t="n">
        <v>57.3</v>
      </c>
      <c r="G38" s="15" t="n">
        <v>24</v>
      </c>
      <c r="H38" s="16" t="n">
        <f aca="false">F38-G38</f>
        <v>33.3</v>
      </c>
      <c r="I38" s="11" t="n">
        <f aca="false">IFERROR(G38/C38,0)</f>
        <v>0.0151898734177215</v>
      </c>
    </row>
    <row r="39" customFormat="false" ht="15" hidden="false" customHeight="false" outlineLevel="0" collapsed="false">
      <c r="A39" s="8" t="s">
        <v>41</v>
      </c>
      <c r="B39" s="8" t="s">
        <v>131</v>
      </c>
      <c r="C39" s="15" t="n">
        <v>816</v>
      </c>
      <c r="D39" s="9" t="n">
        <v>1237.15</v>
      </c>
      <c r="E39" s="10" t="n">
        <f aca="false">C39*D39</f>
        <v>1009514.4</v>
      </c>
      <c r="F39" s="15" t="n">
        <v>18.1</v>
      </c>
      <c r="G39" s="15" t="n">
        <v>17.7</v>
      </c>
      <c r="H39" s="16" t="n">
        <f aca="false">F39-G39</f>
        <v>0.400000000000002</v>
      </c>
      <c r="I39" s="11" t="n">
        <f aca="false">IFERROR(G39/C39,0)</f>
        <v>0.0216911764705882</v>
      </c>
    </row>
    <row r="40" customFormat="false" ht="15" hidden="false" customHeight="false" outlineLevel="0" collapsed="false">
      <c r="A40" s="8" t="s">
        <v>41</v>
      </c>
      <c r="B40" s="8" t="s">
        <v>132</v>
      </c>
      <c r="C40" s="15" t="n">
        <v>313.5</v>
      </c>
      <c r="D40" s="9" t="n">
        <v>2212.56</v>
      </c>
      <c r="E40" s="10" t="n">
        <f aca="false">C40*D40</f>
        <v>693637.56</v>
      </c>
      <c r="F40" s="15" t="n">
        <v>7.2</v>
      </c>
      <c r="G40" s="15" t="n">
        <v>8.6</v>
      </c>
      <c r="H40" s="16" t="n">
        <f aca="false">F40-G40</f>
        <v>-1.4</v>
      </c>
      <c r="I40" s="11" t="n">
        <f aca="false">IFERROR(G40/C40,0)</f>
        <v>0.0274322169059011</v>
      </c>
    </row>
    <row r="41" customFormat="false" ht="15" hidden="false" customHeight="false" outlineLevel="0" collapsed="false">
      <c r="A41" s="8" t="s">
        <v>42</v>
      </c>
      <c r="B41" s="8" t="s">
        <v>130</v>
      </c>
      <c r="C41" s="15" t="n">
        <v>1590.9</v>
      </c>
      <c r="D41" s="9" t="n">
        <v>897.88</v>
      </c>
      <c r="E41" s="10" t="n">
        <f aca="false">C41*D41</f>
        <v>1428437.292</v>
      </c>
      <c r="F41" s="15" t="n">
        <v>39.6</v>
      </c>
      <c r="G41" s="15" t="n">
        <v>28.7</v>
      </c>
      <c r="H41" s="16" t="n">
        <f aca="false">F41-G41</f>
        <v>10.9</v>
      </c>
      <c r="I41" s="11" t="n">
        <f aca="false">IFERROR(G41/C41,0)</f>
        <v>0.0180401030863033</v>
      </c>
    </row>
    <row r="42" customFormat="false" ht="15" hidden="false" customHeight="false" outlineLevel="0" collapsed="false">
      <c r="A42" s="8" t="s">
        <v>42</v>
      </c>
      <c r="B42" s="8" t="s">
        <v>131</v>
      </c>
      <c r="C42" s="15" t="n">
        <v>832.3</v>
      </c>
      <c r="D42" s="9" t="n">
        <v>1254.84</v>
      </c>
      <c r="E42" s="10" t="n">
        <f aca="false">C42*D42</f>
        <v>1044403.332</v>
      </c>
      <c r="F42" s="15" t="n">
        <v>30.4</v>
      </c>
      <c r="G42" s="15" t="n">
        <v>14.1</v>
      </c>
      <c r="H42" s="16" t="n">
        <f aca="false">F42-G42</f>
        <v>16.3</v>
      </c>
      <c r="I42" s="11" t="n">
        <f aca="false">IFERROR(G42/C42,0)</f>
        <v>0.0169410068484921</v>
      </c>
    </row>
    <row r="43" customFormat="false" ht="15" hidden="false" customHeight="false" outlineLevel="0" collapsed="false">
      <c r="A43" s="8" t="s">
        <v>42</v>
      </c>
      <c r="B43" s="8" t="s">
        <v>132</v>
      </c>
      <c r="C43" s="15" t="n">
        <v>313.2</v>
      </c>
      <c r="D43" s="9" t="n">
        <v>2225.57</v>
      </c>
      <c r="E43" s="10" t="n">
        <f aca="false">C43*D43</f>
        <v>697048.524</v>
      </c>
      <c r="F43" s="15" t="n">
        <v>8.6</v>
      </c>
      <c r="G43" s="15" t="n">
        <v>9</v>
      </c>
      <c r="H43" s="16" t="n">
        <f aca="false">F43-G43</f>
        <v>-0.4</v>
      </c>
      <c r="I43" s="11" t="n">
        <f aca="false">IFERROR(G43/C43,0)</f>
        <v>0.028735632183908</v>
      </c>
    </row>
    <row r="44" customFormat="false" ht="15" hidden="false" customHeight="false" outlineLevel="0" collapsed="false">
      <c r="A44" s="8" t="s">
        <v>43</v>
      </c>
      <c r="B44" s="8" t="s">
        <v>130</v>
      </c>
      <c r="C44" s="15" t="n">
        <v>1613.9</v>
      </c>
      <c r="D44" s="9" t="n">
        <v>892.82</v>
      </c>
      <c r="E44" s="10" t="n">
        <f aca="false">C44*D44</f>
        <v>1440922.198</v>
      </c>
      <c r="F44" s="15" t="n">
        <v>57.3</v>
      </c>
      <c r="G44" s="15" t="n">
        <v>34.3</v>
      </c>
      <c r="H44" s="16" t="n">
        <f aca="false">F44-G44</f>
        <v>23</v>
      </c>
      <c r="I44" s="11" t="n">
        <f aca="false">IFERROR(G44/C44,0)</f>
        <v>0.0212528657289795</v>
      </c>
    </row>
    <row r="45" customFormat="false" ht="15" hidden="false" customHeight="false" outlineLevel="0" collapsed="false">
      <c r="A45" s="8" t="s">
        <v>43</v>
      </c>
      <c r="B45" s="8" t="s">
        <v>131</v>
      </c>
      <c r="C45" s="15" t="n">
        <v>844</v>
      </c>
      <c r="D45" s="9" t="n">
        <v>1267</v>
      </c>
      <c r="E45" s="10" t="n">
        <f aca="false">C45*D45</f>
        <v>1069348</v>
      </c>
      <c r="F45" s="15" t="n">
        <v>28.9</v>
      </c>
      <c r="G45" s="15" t="n">
        <v>17.3</v>
      </c>
      <c r="H45" s="16" t="n">
        <f aca="false">F45-G45</f>
        <v>11.6</v>
      </c>
      <c r="I45" s="11" t="n">
        <f aca="false">IFERROR(G45/C45,0)</f>
        <v>0.0204976303317536</v>
      </c>
    </row>
    <row r="46" customFormat="false" ht="15" hidden="false" customHeight="false" outlineLevel="0" collapsed="false">
      <c r="A46" s="8" t="s">
        <v>43</v>
      </c>
      <c r="B46" s="8" t="s">
        <v>132</v>
      </c>
      <c r="C46" s="15" t="n">
        <v>313.4</v>
      </c>
      <c r="D46" s="9" t="n">
        <v>2234.76</v>
      </c>
      <c r="E46" s="10" t="n">
        <f aca="false">C46*D46</f>
        <v>700373.784</v>
      </c>
      <c r="F46" s="15" t="n">
        <v>7.8</v>
      </c>
      <c r="G46" s="15" t="n">
        <v>7.5</v>
      </c>
      <c r="H46" s="16" t="n">
        <f aca="false">F46-G46</f>
        <v>0.3</v>
      </c>
      <c r="I46" s="11" t="n">
        <f aca="false">IFERROR(G46/C46,0)</f>
        <v>0.0239310784939375</v>
      </c>
    </row>
    <row r="47" customFormat="false" ht="15" hidden="false" customHeight="false" outlineLevel="0" collapsed="false">
      <c r="A47" s="8" t="s">
        <v>44</v>
      </c>
      <c r="B47" s="8" t="s">
        <v>130</v>
      </c>
      <c r="C47" s="15" t="n">
        <v>1643.5</v>
      </c>
      <c r="D47" s="9" t="n">
        <v>892.74</v>
      </c>
      <c r="E47" s="10" t="n">
        <f aca="false">C47*D47</f>
        <v>1467218.19</v>
      </c>
      <c r="F47" s="15" t="n">
        <v>60.2</v>
      </c>
      <c r="G47" s="15" t="n">
        <v>30.6</v>
      </c>
      <c r="H47" s="16" t="n">
        <f aca="false">F47-G47</f>
        <v>29.6</v>
      </c>
      <c r="I47" s="11" t="n">
        <f aca="false">IFERROR(G47/C47,0)</f>
        <v>0.0186188013386066</v>
      </c>
    </row>
    <row r="48" customFormat="false" ht="15" hidden="false" customHeight="false" outlineLevel="0" collapsed="false">
      <c r="A48" s="8" t="s">
        <v>44</v>
      </c>
      <c r="B48" s="8" t="s">
        <v>131</v>
      </c>
      <c r="C48" s="15" t="n">
        <v>856.9</v>
      </c>
      <c r="D48" s="9" t="n">
        <v>1267.9</v>
      </c>
      <c r="E48" s="10" t="n">
        <f aca="false">C48*D48</f>
        <v>1086463.51</v>
      </c>
      <c r="F48" s="15" t="n">
        <v>30.6</v>
      </c>
      <c r="G48" s="15" t="n">
        <v>17.6</v>
      </c>
      <c r="H48" s="16" t="n">
        <f aca="false">F48-G48</f>
        <v>13</v>
      </c>
      <c r="I48" s="11" t="n">
        <f aca="false">IFERROR(G48/C48,0)</f>
        <v>0.0205391527599487</v>
      </c>
    </row>
    <row r="49" customFormat="false" ht="15" hidden="false" customHeight="false" outlineLevel="0" collapsed="false">
      <c r="A49" s="8" t="s">
        <v>44</v>
      </c>
      <c r="B49" s="8" t="s">
        <v>132</v>
      </c>
      <c r="C49" s="15" t="n">
        <v>317.2</v>
      </c>
      <c r="D49" s="9" t="n">
        <v>2221.02</v>
      </c>
      <c r="E49" s="10" t="n">
        <f aca="false">C49*D49</f>
        <v>704507.544</v>
      </c>
      <c r="F49" s="15" t="n">
        <v>13.9</v>
      </c>
      <c r="G49" s="15" t="n">
        <v>10.1</v>
      </c>
      <c r="H49" s="16" t="n">
        <f aca="false">F49-G49</f>
        <v>3.8</v>
      </c>
      <c r="I49" s="11" t="n">
        <f aca="false">IFERROR(G49/C49,0)</f>
        <v>0.0318411097099622</v>
      </c>
    </row>
    <row r="50" customFormat="false" ht="15" hidden="false" customHeight="false" outlineLevel="0" collapsed="false">
      <c r="A50" s="8" t="s">
        <v>45</v>
      </c>
      <c r="B50" s="8" t="s">
        <v>130</v>
      </c>
      <c r="C50" s="15" t="n">
        <v>1655.8</v>
      </c>
      <c r="D50" s="9" t="n">
        <v>902.52</v>
      </c>
      <c r="E50" s="10" t="n">
        <f aca="false">C50*D50</f>
        <v>1494392.616</v>
      </c>
      <c r="F50" s="15" t="n">
        <v>45.4</v>
      </c>
      <c r="G50" s="15" t="n">
        <v>33.1</v>
      </c>
      <c r="H50" s="16" t="n">
        <f aca="false">F50-G50</f>
        <v>12.3</v>
      </c>
      <c r="I50" s="11" t="n">
        <f aca="false">IFERROR(G50/C50,0)</f>
        <v>0.0199903369972219</v>
      </c>
    </row>
    <row r="51" customFormat="false" ht="15" hidden="false" customHeight="false" outlineLevel="0" collapsed="false">
      <c r="A51" s="8" t="s">
        <v>45</v>
      </c>
      <c r="B51" s="8" t="s">
        <v>131</v>
      </c>
      <c r="C51" s="15" t="n">
        <v>861.2</v>
      </c>
      <c r="D51" s="9" t="n">
        <v>1277.38</v>
      </c>
      <c r="E51" s="10" t="n">
        <f aca="false">C51*D51</f>
        <v>1100079.656</v>
      </c>
      <c r="F51" s="15" t="n">
        <v>23.9</v>
      </c>
      <c r="G51" s="15" t="n">
        <v>19.6</v>
      </c>
      <c r="H51" s="16" t="n">
        <f aca="false">F51-G51</f>
        <v>4.3</v>
      </c>
      <c r="I51" s="11" t="n">
        <f aca="false">IFERROR(G51/C51,0)</f>
        <v>0.0227589410125406</v>
      </c>
    </row>
    <row r="52" customFormat="false" ht="15" hidden="false" customHeight="false" outlineLevel="0" collapsed="false">
      <c r="A52" s="8" t="s">
        <v>45</v>
      </c>
      <c r="B52" s="8" t="s">
        <v>132</v>
      </c>
      <c r="C52" s="15" t="n">
        <v>316.4</v>
      </c>
      <c r="D52" s="9" t="n">
        <v>2219.98</v>
      </c>
      <c r="E52" s="10" t="n">
        <f aca="false">C52*D52</f>
        <v>702401.672</v>
      </c>
      <c r="F52" s="15" t="n">
        <v>11.5</v>
      </c>
      <c r="G52" s="15" t="n">
        <v>12.2</v>
      </c>
      <c r="H52" s="16" t="n">
        <f aca="false">F52-G52</f>
        <v>-0.699999999999999</v>
      </c>
      <c r="I52" s="11" t="n">
        <f aca="false">IFERROR(G52/C52,0)</f>
        <v>0.038558786346397</v>
      </c>
    </row>
    <row r="53" customFormat="false" ht="15" hidden="false" customHeight="false" outlineLevel="0" collapsed="false">
      <c r="A53" s="8" t="s">
        <v>46</v>
      </c>
      <c r="B53" s="8" t="s">
        <v>130</v>
      </c>
      <c r="C53" s="15" t="n">
        <v>1678.6</v>
      </c>
      <c r="D53" s="9" t="n">
        <v>905.71</v>
      </c>
      <c r="E53" s="10" t="n">
        <f aca="false">C53*D53</f>
        <v>1520324.806</v>
      </c>
      <c r="F53" s="15" t="n">
        <v>48.9</v>
      </c>
      <c r="G53" s="15" t="n">
        <v>26.2</v>
      </c>
      <c r="H53" s="16" t="n">
        <f aca="false">F53-G53</f>
        <v>22.7</v>
      </c>
      <c r="I53" s="11" t="n">
        <f aca="false">IFERROR(G53/C53,0)</f>
        <v>0.0156082449660431</v>
      </c>
    </row>
    <row r="54" customFormat="false" ht="15" hidden="false" customHeight="false" outlineLevel="0" collapsed="false">
      <c r="A54" s="8" t="s">
        <v>46</v>
      </c>
      <c r="B54" s="8" t="s">
        <v>131</v>
      </c>
      <c r="C54" s="15" t="n">
        <v>874.4</v>
      </c>
      <c r="D54" s="9" t="n">
        <v>1290.11</v>
      </c>
      <c r="E54" s="10" t="n">
        <f aca="false">C54*D54</f>
        <v>1128072.184</v>
      </c>
      <c r="F54" s="15" t="n">
        <v>31.1</v>
      </c>
      <c r="G54" s="15" t="n">
        <v>17.9</v>
      </c>
      <c r="H54" s="16" t="n">
        <f aca="false">F54-G54</f>
        <v>13.2</v>
      </c>
      <c r="I54" s="11" t="n">
        <f aca="false">IFERROR(G54/C54,0)</f>
        <v>0.0204711802378774</v>
      </c>
    </row>
    <row r="55" customFormat="false" ht="15" hidden="false" customHeight="false" outlineLevel="0" collapsed="false">
      <c r="A55" s="8" t="s">
        <v>46</v>
      </c>
      <c r="B55" s="8" t="s">
        <v>132</v>
      </c>
      <c r="C55" s="15" t="n">
        <v>315.4</v>
      </c>
      <c r="D55" s="9" t="n">
        <v>2218.67</v>
      </c>
      <c r="E55" s="10" t="n">
        <f aca="false">C55*D55</f>
        <v>699768.518</v>
      </c>
      <c r="F55" s="15" t="n">
        <v>10.5</v>
      </c>
      <c r="G55" s="15" t="n">
        <v>11.6</v>
      </c>
      <c r="H55" s="16" t="n">
        <f aca="false">F55-G55</f>
        <v>-1.1</v>
      </c>
      <c r="I55" s="11" t="n">
        <f aca="false">IFERROR(G55/C55,0)</f>
        <v>0.0367786937222575</v>
      </c>
    </row>
    <row r="56" customFormat="false" ht="15" hidden="false" customHeight="false" outlineLevel="0" collapsed="false">
      <c r="A56" s="8" t="s">
        <v>47</v>
      </c>
      <c r="B56" s="8" t="s">
        <v>130</v>
      </c>
      <c r="C56" s="15" t="n">
        <v>1705.2</v>
      </c>
      <c r="D56" s="9" t="n">
        <v>903.52</v>
      </c>
      <c r="E56" s="10" t="n">
        <f aca="false">C56*D56</f>
        <v>1540682.304</v>
      </c>
      <c r="F56" s="15" t="n">
        <v>52.9</v>
      </c>
      <c r="G56" s="15" t="n">
        <v>26.3</v>
      </c>
      <c r="H56" s="16" t="n">
        <f aca="false">F56-G56</f>
        <v>26.6</v>
      </c>
      <c r="I56" s="11" t="n">
        <f aca="false">IFERROR(G56/C56,0)</f>
        <v>0.0154234107436078</v>
      </c>
    </row>
    <row r="57" customFormat="false" ht="15" hidden="false" customHeight="false" outlineLevel="0" collapsed="false">
      <c r="A57" s="8" t="s">
        <v>47</v>
      </c>
      <c r="B57" s="8" t="s">
        <v>131</v>
      </c>
      <c r="C57" s="15" t="n">
        <v>883.7</v>
      </c>
      <c r="D57" s="9" t="n">
        <v>1302.09</v>
      </c>
      <c r="E57" s="10" t="n">
        <f aca="false">C57*D57</f>
        <v>1150656.933</v>
      </c>
      <c r="F57" s="15" t="n">
        <v>26.2</v>
      </c>
      <c r="G57" s="15" t="n">
        <v>16.9</v>
      </c>
      <c r="H57" s="16" t="n">
        <f aca="false">F57-G57</f>
        <v>9.3</v>
      </c>
      <c r="I57" s="11" t="n">
        <f aca="false">IFERROR(G57/C57,0)</f>
        <v>0.0191241371506167</v>
      </c>
    </row>
    <row r="58" customFormat="false" ht="15" hidden="false" customHeight="false" outlineLevel="0" collapsed="false">
      <c r="A58" s="8" t="s">
        <v>47</v>
      </c>
      <c r="B58" s="8" t="s">
        <v>132</v>
      </c>
      <c r="C58" s="15" t="n">
        <v>315.4</v>
      </c>
      <c r="D58" s="9" t="n">
        <v>2209.62</v>
      </c>
      <c r="E58" s="10" t="n">
        <f aca="false">C58*D58</f>
        <v>696914.148</v>
      </c>
      <c r="F58" s="15" t="n">
        <v>9.4</v>
      </c>
      <c r="G58" s="15" t="n">
        <v>9.4</v>
      </c>
      <c r="H58" s="16" t="n">
        <f aca="false">F58-G58</f>
        <v>0</v>
      </c>
      <c r="I58" s="11" t="n">
        <f aca="false">IFERROR(G58/C58,0)</f>
        <v>0.0298034242232086</v>
      </c>
    </row>
    <row r="59" customFormat="false" ht="15" hidden="false" customHeight="false" outlineLevel="0" collapsed="false">
      <c r="A59" s="8" t="s">
        <v>48</v>
      </c>
      <c r="B59" s="8" t="s">
        <v>130</v>
      </c>
      <c r="C59" s="15" t="n">
        <v>1712.9</v>
      </c>
      <c r="D59" s="9" t="n">
        <v>908.29</v>
      </c>
      <c r="E59" s="10" t="n">
        <f aca="false">C59*D59</f>
        <v>1555809.941</v>
      </c>
      <c r="F59" s="15" t="n">
        <v>42.3</v>
      </c>
      <c r="G59" s="15" t="n">
        <v>34.6</v>
      </c>
      <c r="H59" s="16" t="n">
        <f aca="false">F59-G59</f>
        <v>7.7</v>
      </c>
      <c r="I59" s="11" t="n">
        <f aca="false">IFERROR(G59/C59,0)</f>
        <v>0.0201996613929593</v>
      </c>
    </row>
    <row r="60" customFormat="false" ht="15" hidden="false" customHeight="false" outlineLevel="0" collapsed="false">
      <c r="A60" s="8" t="s">
        <v>48</v>
      </c>
      <c r="B60" s="8" t="s">
        <v>131</v>
      </c>
      <c r="C60" s="15" t="n">
        <v>883.1</v>
      </c>
      <c r="D60" s="9" t="n">
        <v>1311.61</v>
      </c>
      <c r="E60" s="10" t="n">
        <f aca="false">C60*D60</f>
        <v>1158282.791</v>
      </c>
      <c r="F60" s="15" t="n">
        <v>17.5</v>
      </c>
      <c r="G60" s="15" t="n">
        <v>18.1</v>
      </c>
      <c r="H60" s="16" t="n">
        <f aca="false">F60-G60</f>
        <v>-0.600000000000001</v>
      </c>
      <c r="I60" s="11" t="n">
        <f aca="false">IFERROR(G60/C60,0)</f>
        <v>0.0204959800702072</v>
      </c>
    </row>
    <row r="61" customFormat="false" ht="15" hidden="false" customHeight="false" outlineLevel="0" collapsed="false">
      <c r="A61" s="8" t="s">
        <v>48</v>
      </c>
      <c r="B61" s="8" t="s">
        <v>132</v>
      </c>
      <c r="C61" s="15" t="n">
        <v>312.6</v>
      </c>
      <c r="D61" s="9" t="n">
        <v>2212.6</v>
      </c>
      <c r="E61" s="10" t="n">
        <f aca="false">C61*D61</f>
        <v>691658.76</v>
      </c>
      <c r="F61" s="15" t="n">
        <v>6.9</v>
      </c>
      <c r="G61" s="15" t="n">
        <v>9.7</v>
      </c>
      <c r="H61" s="16" t="n">
        <f aca="false">F61-G61</f>
        <v>-2.8</v>
      </c>
      <c r="I61" s="11" t="n">
        <f aca="false">IFERROR(G61/C61,0)</f>
        <v>0.0310300703774792</v>
      </c>
    </row>
    <row r="62" customFormat="false" ht="15" hidden="false" customHeight="false" outlineLevel="0" collapsed="false">
      <c r="A62" s="8" t="s">
        <v>49</v>
      </c>
      <c r="B62" s="8" t="s">
        <v>130</v>
      </c>
      <c r="C62" s="15" t="n">
        <v>1740.8</v>
      </c>
      <c r="D62" s="9" t="n">
        <v>917.83</v>
      </c>
      <c r="E62" s="10" t="n">
        <f aca="false">C62*D62</f>
        <v>1597758.464</v>
      </c>
      <c r="F62" s="15" t="n">
        <v>61.3</v>
      </c>
      <c r="G62" s="15" t="n">
        <v>33.4</v>
      </c>
      <c r="H62" s="16" t="n">
        <f aca="false">F62-G62</f>
        <v>27.9</v>
      </c>
      <c r="I62" s="11" t="n">
        <f aca="false">IFERROR(G62/C62,0)</f>
        <v>0.0191865808823529</v>
      </c>
    </row>
    <row r="63" customFormat="false" ht="15" hidden="false" customHeight="false" outlineLevel="0" collapsed="false">
      <c r="A63" s="8" t="s">
        <v>49</v>
      </c>
      <c r="B63" s="8" t="s">
        <v>131</v>
      </c>
      <c r="C63" s="15" t="n">
        <v>903.8</v>
      </c>
      <c r="D63" s="9" t="n">
        <v>1310.78</v>
      </c>
      <c r="E63" s="10" t="n">
        <f aca="false">C63*D63</f>
        <v>1184682.964</v>
      </c>
      <c r="F63" s="15" t="n">
        <v>34.7</v>
      </c>
      <c r="G63" s="15" t="n">
        <v>14</v>
      </c>
      <c r="H63" s="16" t="n">
        <f aca="false">F63-G63</f>
        <v>20.7</v>
      </c>
      <c r="I63" s="11" t="n">
        <f aca="false">IFERROR(G63/C63,0)</f>
        <v>0.0154901526886479</v>
      </c>
    </row>
    <row r="64" customFormat="false" ht="15" hidden="false" customHeight="false" outlineLevel="0" collapsed="false">
      <c r="A64" s="8" t="s">
        <v>49</v>
      </c>
      <c r="B64" s="8" t="s">
        <v>132</v>
      </c>
      <c r="C64" s="15" t="n">
        <v>313.9</v>
      </c>
      <c r="D64" s="9" t="n">
        <v>2221.65</v>
      </c>
      <c r="E64" s="10" t="n">
        <f aca="false">C64*D64</f>
        <v>697375.935</v>
      </c>
      <c r="F64" s="15" t="n">
        <v>11.4</v>
      </c>
      <c r="G64" s="15" t="n">
        <v>10.1</v>
      </c>
      <c r="H64" s="16" t="n">
        <f aca="false">F64-G64</f>
        <v>1.3</v>
      </c>
      <c r="I64" s="11" t="n">
        <f aca="false">IFERROR(G64/C64,0)</f>
        <v>0.0321758521822236</v>
      </c>
    </row>
    <row r="65" customFormat="false" ht="15" hidden="false" customHeight="false" outlineLevel="0" collapsed="false">
      <c r="A65" s="8" t="s">
        <v>50</v>
      </c>
      <c r="B65" s="8" t="s">
        <v>130</v>
      </c>
      <c r="C65" s="15" t="n">
        <v>1770.3</v>
      </c>
      <c r="D65" s="9" t="n">
        <v>926.75</v>
      </c>
      <c r="E65" s="10" t="n">
        <f aca="false">C65*D65</f>
        <v>1640625.525</v>
      </c>
      <c r="F65" s="15" t="n">
        <v>66.2</v>
      </c>
      <c r="G65" s="15" t="n">
        <v>36.7</v>
      </c>
      <c r="H65" s="16" t="n">
        <f aca="false">F65-G65</f>
        <v>29.5</v>
      </c>
      <c r="I65" s="11" t="n">
        <f aca="false">IFERROR(G65/C65,0)</f>
        <v>0.0207309495565723</v>
      </c>
    </row>
    <row r="66" customFormat="false" ht="15" hidden="false" customHeight="false" outlineLevel="0" collapsed="false">
      <c r="A66" s="8" t="s">
        <v>50</v>
      </c>
      <c r="B66" s="8" t="s">
        <v>131</v>
      </c>
      <c r="C66" s="15" t="n">
        <v>920.6</v>
      </c>
      <c r="D66" s="9" t="n">
        <v>1323.31</v>
      </c>
      <c r="E66" s="10" t="n">
        <f aca="false">C66*D66</f>
        <v>1218239.186</v>
      </c>
      <c r="F66" s="15" t="n">
        <v>34.1</v>
      </c>
      <c r="G66" s="15" t="n">
        <v>17.2</v>
      </c>
      <c r="H66" s="16" t="n">
        <f aca="false">F66-G66</f>
        <v>16.9</v>
      </c>
      <c r="I66" s="11" t="n">
        <f aca="false">IFERROR(G66/C66,0)</f>
        <v>0.0186834673039322</v>
      </c>
    </row>
    <row r="67" customFormat="false" ht="15" hidden="false" customHeight="false" outlineLevel="0" collapsed="false">
      <c r="A67" s="8" t="s">
        <v>50</v>
      </c>
      <c r="B67" s="8" t="s">
        <v>132</v>
      </c>
      <c r="C67" s="15" t="n">
        <v>314.5</v>
      </c>
      <c r="D67" s="9" t="n">
        <v>2217.4</v>
      </c>
      <c r="E67" s="10" t="n">
        <f aca="false">C67*D67</f>
        <v>697372.3</v>
      </c>
      <c r="F67" s="15" t="n">
        <v>9.6</v>
      </c>
      <c r="G67" s="15" t="n">
        <v>9.1</v>
      </c>
      <c r="H67" s="16" t="n">
        <f aca="false">F67-G67</f>
        <v>0.5</v>
      </c>
      <c r="I67" s="11" t="n">
        <f aca="false">IFERROR(G67/C67,0)</f>
        <v>0.0289348171701113</v>
      </c>
    </row>
    <row r="68" customFormat="false" ht="15" hidden="false" customHeight="false" outlineLevel="0" collapsed="false">
      <c r="A68" s="8" t="s">
        <v>51</v>
      </c>
      <c r="B68" s="8" t="s">
        <v>130</v>
      </c>
      <c r="C68" s="15" t="n">
        <v>1830.7</v>
      </c>
      <c r="D68" s="9" t="n">
        <v>934.28</v>
      </c>
      <c r="E68" s="10" t="n">
        <f aca="false">C68*D68</f>
        <v>1710386.396</v>
      </c>
      <c r="F68" s="15" t="n">
        <v>83.4</v>
      </c>
      <c r="G68" s="15" t="n">
        <v>22.9</v>
      </c>
      <c r="H68" s="16" t="n">
        <f aca="false">F68-G68</f>
        <v>60.5</v>
      </c>
      <c r="I68" s="11" t="n">
        <f aca="false">IFERROR(G68/C68,0)</f>
        <v>0.0125088763860818</v>
      </c>
    </row>
    <row r="69" customFormat="false" ht="15" hidden="false" customHeight="false" outlineLevel="0" collapsed="false">
      <c r="A69" s="8" t="s">
        <v>51</v>
      </c>
      <c r="B69" s="8" t="s">
        <v>131</v>
      </c>
      <c r="C69" s="15" t="n">
        <v>926.2</v>
      </c>
      <c r="D69" s="9" t="n">
        <v>1338.57</v>
      </c>
      <c r="E69" s="10" t="n">
        <f aca="false">C69*D69</f>
        <v>1239783.534</v>
      </c>
      <c r="F69" s="15" t="n">
        <v>22.7</v>
      </c>
      <c r="G69" s="15" t="n">
        <v>17.1</v>
      </c>
      <c r="H69" s="16" t="n">
        <f aca="false">F69-G69</f>
        <v>5.6</v>
      </c>
      <c r="I69" s="11" t="n">
        <f aca="false">IFERROR(G69/C69,0)</f>
        <v>0.0184625350896135</v>
      </c>
    </row>
    <row r="70" customFormat="false" ht="15" hidden="false" customHeight="false" outlineLevel="0" collapsed="false">
      <c r="A70" s="8" t="s">
        <v>51</v>
      </c>
      <c r="B70" s="8" t="s">
        <v>132</v>
      </c>
      <c r="C70" s="15" t="n">
        <v>317.7</v>
      </c>
      <c r="D70" s="9" t="n">
        <v>2210.1</v>
      </c>
      <c r="E70" s="10" t="n">
        <f aca="false">C70*D70</f>
        <v>702148.77</v>
      </c>
      <c r="F70" s="15" t="n">
        <v>11.1</v>
      </c>
      <c r="G70" s="15" t="n">
        <v>7.9</v>
      </c>
      <c r="H70" s="16" t="n">
        <f aca="false">F70-G70</f>
        <v>3.2</v>
      </c>
      <c r="I70" s="11" t="n">
        <f aca="false">IFERROR(G70/C70,0)</f>
        <v>0.0248662259993705</v>
      </c>
    </row>
    <row r="71" customFormat="false" ht="15" hidden="false" customHeight="false" outlineLevel="0" collapsed="false">
      <c r="A71" s="8" t="s">
        <v>52</v>
      </c>
      <c r="B71" s="8" t="s">
        <v>130</v>
      </c>
      <c r="C71" s="15" t="n">
        <v>1858.2</v>
      </c>
      <c r="D71" s="9" t="n">
        <v>938.27</v>
      </c>
      <c r="E71" s="10" t="n">
        <f aca="false">C71*D71</f>
        <v>1743493.314</v>
      </c>
      <c r="F71" s="15" t="n">
        <v>61.5</v>
      </c>
      <c r="G71" s="15" t="n">
        <v>34</v>
      </c>
      <c r="H71" s="16" t="n">
        <f aca="false">F71-G71</f>
        <v>27.5</v>
      </c>
      <c r="I71" s="11" t="n">
        <f aca="false">IFERROR(G71/C71,0)</f>
        <v>0.018297276934668</v>
      </c>
    </row>
    <row r="72" customFormat="false" ht="15" hidden="false" customHeight="false" outlineLevel="0" collapsed="false">
      <c r="A72" s="8" t="s">
        <v>52</v>
      </c>
      <c r="B72" s="8" t="s">
        <v>131</v>
      </c>
      <c r="C72" s="15" t="n">
        <v>933.4</v>
      </c>
      <c r="D72" s="9" t="n">
        <v>1350.35</v>
      </c>
      <c r="E72" s="10" t="n">
        <f aca="false">C72*D72</f>
        <v>1260416.69</v>
      </c>
      <c r="F72" s="15" t="n">
        <v>31.7</v>
      </c>
      <c r="G72" s="15" t="n">
        <v>24.5</v>
      </c>
      <c r="H72" s="16" t="n">
        <f aca="false">F72-G72</f>
        <v>7.2</v>
      </c>
      <c r="I72" s="11" t="n">
        <f aca="false">IFERROR(G72/C72,0)</f>
        <v>0.026248125133919</v>
      </c>
    </row>
    <row r="73" customFormat="false" ht="15" hidden="false" customHeight="false" outlineLevel="0" collapsed="false">
      <c r="A73" s="8" t="s">
        <v>52</v>
      </c>
      <c r="B73" s="8" t="s">
        <v>132</v>
      </c>
      <c r="C73" s="15" t="n">
        <v>316.7</v>
      </c>
      <c r="D73" s="9" t="n">
        <v>2203.54</v>
      </c>
      <c r="E73" s="10" t="n">
        <f aca="false">C73*D73</f>
        <v>697861.118</v>
      </c>
      <c r="F73" s="15" t="n">
        <v>8.9</v>
      </c>
      <c r="G73" s="15" t="n">
        <v>9.8</v>
      </c>
      <c r="H73" s="16" t="n">
        <f aca="false">F73-G73</f>
        <v>-0.9</v>
      </c>
      <c r="I73" s="11" t="n">
        <f aca="false">IFERROR(G73/C73,0)</f>
        <v>0.0309441111461951</v>
      </c>
    </row>
    <row r="74" customFormat="false" ht="15" hidden="false" customHeight="false" outlineLevel="0" collapsed="false">
      <c r="A74" s="8" t="s">
        <v>53</v>
      </c>
      <c r="B74" s="8" t="s">
        <v>130</v>
      </c>
      <c r="C74" s="15" t="n">
        <v>1867</v>
      </c>
      <c r="D74" s="9" t="n">
        <v>944.86</v>
      </c>
      <c r="E74" s="10" t="n">
        <f aca="false">C74*D74</f>
        <v>1764053.62</v>
      </c>
      <c r="F74" s="15" t="n">
        <v>41.7</v>
      </c>
      <c r="G74" s="15" t="n">
        <v>32.9</v>
      </c>
      <c r="H74" s="16" t="n">
        <f aca="false">F74-G74</f>
        <v>8.8</v>
      </c>
      <c r="I74" s="11" t="n">
        <f aca="false">IFERROR(G74/C74,0)</f>
        <v>0.0176218532404928</v>
      </c>
    </row>
    <row r="75" customFormat="false" ht="15" hidden="false" customHeight="false" outlineLevel="0" collapsed="false">
      <c r="A75" s="8" t="s">
        <v>53</v>
      </c>
      <c r="B75" s="8" t="s">
        <v>131</v>
      </c>
      <c r="C75" s="15" t="n">
        <v>947.7</v>
      </c>
      <c r="D75" s="9" t="n">
        <v>1354.39</v>
      </c>
      <c r="E75" s="10" t="n">
        <f aca="false">C75*D75</f>
        <v>1283555.403</v>
      </c>
      <c r="F75" s="15" t="n">
        <v>29.6</v>
      </c>
      <c r="G75" s="15" t="n">
        <v>15.3</v>
      </c>
      <c r="H75" s="16" t="n">
        <f aca="false">F75-G75</f>
        <v>14.3</v>
      </c>
      <c r="I75" s="11" t="n">
        <f aca="false">IFERROR(G75/C75,0)</f>
        <v>0.0161443494776828</v>
      </c>
    </row>
    <row r="76" customFormat="false" ht="15" hidden="false" customHeight="false" outlineLevel="0" collapsed="false">
      <c r="A76" s="8" t="s">
        <v>53</v>
      </c>
      <c r="B76" s="8" t="s">
        <v>132</v>
      </c>
      <c r="C76" s="15" t="n">
        <v>316.3</v>
      </c>
      <c r="D76" s="9" t="n">
        <v>2229.08</v>
      </c>
      <c r="E76" s="10" t="n">
        <f aca="false">C76*D76</f>
        <v>705058.004</v>
      </c>
      <c r="F76" s="15" t="n">
        <v>8.1</v>
      </c>
      <c r="G76" s="15" t="n">
        <v>8.6</v>
      </c>
      <c r="H76" s="16" t="n">
        <f aca="false">F76-G76</f>
        <v>-0.5</v>
      </c>
      <c r="I76" s="11" t="n">
        <f aca="false">IFERROR(G76/C76,0)</f>
        <v>0.0271893771735694</v>
      </c>
    </row>
    <row r="77" customFormat="false" ht="15" hidden="false" customHeight="false" outlineLevel="0" collapsed="false">
      <c r="A77" s="8" t="s">
        <v>54</v>
      </c>
      <c r="B77" s="8" t="s">
        <v>130</v>
      </c>
      <c r="C77" s="15" t="n">
        <v>1871.3</v>
      </c>
      <c r="D77" s="9" t="n">
        <v>960.67</v>
      </c>
      <c r="E77" s="10" t="n">
        <f aca="false">C77*D77</f>
        <v>1797701.771</v>
      </c>
      <c r="F77" s="15" t="n">
        <v>42.5</v>
      </c>
      <c r="G77" s="15" t="n">
        <v>38.2</v>
      </c>
      <c r="H77" s="16" t="n">
        <f aca="false">F77-G77</f>
        <v>4.3</v>
      </c>
      <c r="I77" s="11" t="n">
        <f aca="false">IFERROR(G77/C77,0)</f>
        <v>0.0204136162026399</v>
      </c>
    </row>
    <row r="78" customFormat="false" ht="15" hidden="false" customHeight="false" outlineLevel="0" collapsed="false">
      <c r="A78" s="8" t="s">
        <v>54</v>
      </c>
      <c r="B78" s="8" t="s">
        <v>131</v>
      </c>
      <c r="C78" s="15" t="n">
        <v>966.3</v>
      </c>
      <c r="D78" s="9" t="n">
        <v>1357.23</v>
      </c>
      <c r="E78" s="10" t="n">
        <f aca="false">C78*D78</f>
        <v>1311491.349</v>
      </c>
      <c r="F78" s="15" t="n">
        <v>33.2</v>
      </c>
      <c r="G78" s="15" t="n">
        <v>14.6</v>
      </c>
      <c r="H78" s="16" t="n">
        <f aca="false">F78-G78</f>
        <v>18.6</v>
      </c>
      <c r="I78" s="11" t="n">
        <f aca="false">IFERROR(G78/C78,0)</f>
        <v>0.0151091793438891</v>
      </c>
    </row>
    <row r="79" customFormat="false" ht="15" hidden="false" customHeight="false" outlineLevel="0" collapsed="false">
      <c r="A79" s="8" t="s">
        <v>54</v>
      </c>
      <c r="B79" s="8" t="s">
        <v>132</v>
      </c>
      <c r="C79" s="15" t="n">
        <v>320.1</v>
      </c>
      <c r="D79" s="9" t="n">
        <v>2237.25</v>
      </c>
      <c r="E79" s="10" t="n">
        <f aca="false">C79*D79</f>
        <v>716143.725</v>
      </c>
      <c r="F79" s="15" t="n">
        <v>12.3</v>
      </c>
      <c r="G79" s="15" t="n">
        <v>8.5</v>
      </c>
      <c r="H79" s="16" t="n">
        <f aca="false">F79-G79</f>
        <v>3.8</v>
      </c>
      <c r="I79" s="11" t="n">
        <f aca="false">IFERROR(G79/C79,0)</f>
        <v>0.0265542018119338</v>
      </c>
    </row>
    <row r="80" customFormat="false" ht="15" hidden="false" customHeight="false" outlineLevel="0" collapsed="false">
      <c r="A80" s="8" t="s">
        <v>55</v>
      </c>
      <c r="B80" s="8" t="s">
        <v>130</v>
      </c>
      <c r="C80" s="15" t="n">
        <v>1883.7</v>
      </c>
      <c r="D80" s="9" t="n">
        <v>945.83</v>
      </c>
      <c r="E80" s="10" t="n">
        <f aca="false">C80*D80</f>
        <v>1781659.971</v>
      </c>
      <c r="F80" s="15" t="n">
        <v>45.8</v>
      </c>
      <c r="G80" s="15" t="n">
        <v>33.4</v>
      </c>
      <c r="H80" s="16" t="n">
        <f aca="false">F80-G80</f>
        <v>12.4</v>
      </c>
      <c r="I80" s="11" t="n">
        <f aca="false">IFERROR(G80/C80,0)</f>
        <v>0.0177310612093221</v>
      </c>
    </row>
    <row r="81" customFormat="false" ht="15" hidden="false" customHeight="false" outlineLevel="0" collapsed="false">
      <c r="A81" s="8" t="s">
        <v>55</v>
      </c>
      <c r="B81" s="8" t="s">
        <v>131</v>
      </c>
      <c r="C81" s="15" t="n">
        <v>970.5</v>
      </c>
      <c r="D81" s="9" t="n">
        <v>1353.86</v>
      </c>
      <c r="E81" s="10" t="n">
        <f aca="false">C81*D81</f>
        <v>1313921.13</v>
      </c>
      <c r="F81" s="15" t="n">
        <v>22.8</v>
      </c>
      <c r="G81" s="15" t="n">
        <v>18.6</v>
      </c>
      <c r="H81" s="16" t="n">
        <f aca="false">F81-G81</f>
        <v>4.2</v>
      </c>
      <c r="I81" s="11" t="n">
        <f aca="false">IFERROR(G81/C81,0)</f>
        <v>0.0191653786707883</v>
      </c>
    </row>
    <row r="82" customFormat="false" ht="15" hidden="false" customHeight="false" outlineLevel="0" collapsed="false">
      <c r="A82" s="8" t="s">
        <v>55</v>
      </c>
      <c r="B82" s="8" t="s">
        <v>132</v>
      </c>
      <c r="C82" s="15" t="n">
        <v>325.5</v>
      </c>
      <c r="D82" s="9" t="n">
        <v>2233.58</v>
      </c>
      <c r="E82" s="10" t="n">
        <f aca="false">C82*D82</f>
        <v>727030.29</v>
      </c>
      <c r="F82" s="15" t="n">
        <v>12.9</v>
      </c>
      <c r="G82" s="15" t="n">
        <v>7.5</v>
      </c>
      <c r="H82" s="16" t="n">
        <f aca="false">F82-G82</f>
        <v>5.4</v>
      </c>
      <c r="I82" s="11" t="n">
        <f aca="false">IFERROR(G82/C82,0)</f>
        <v>0.0230414746543779</v>
      </c>
    </row>
    <row r="83" customFormat="false" ht="15" hidden="false" customHeight="false" outlineLevel="0" collapsed="false">
      <c r="A83" s="8" t="s">
        <v>56</v>
      </c>
      <c r="B83" s="8" t="s">
        <v>130</v>
      </c>
      <c r="C83" s="15" t="n">
        <v>1929.2</v>
      </c>
      <c r="D83" s="9" t="n">
        <v>956.22</v>
      </c>
      <c r="E83" s="10" t="n">
        <f aca="false">C83*D83</f>
        <v>1844739.624</v>
      </c>
      <c r="F83" s="15" t="n">
        <v>72</v>
      </c>
      <c r="G83" s="15" t="n">
        <v>26.6</v>
      </c>
      <c r="H83" s="16" t="n">
        <f aca="false">F83-G83</f>
        <v>45.4</v>
      </c>
      <c r="I83" s="11" t="n">
        <f aca="false">IFERROR(G83/C83,0)</f>
        <v>0.0137880986937591</v>
      </c>
    </row>
    <row r="84" customFormat="false" ht="15" hidden="false" customHeight="false" outlineLevel="0" collapsed="false">
      <c r="A84" s="8" t="s">
        <v>56</v>
      </c>
      <c r="B84" s="8" t="s">
        <v>131</v>
      </c>
      <c r="C84" s="15" t="n">
        <v>983.4</v>
      </c>
      <c r="D84" s="9" t="n">
        <v>1364.38</v>
      </c>
      <c r="E84" s="10" t="n">
        <f aca="false">C84*D84</f>
        <v>1341731.292</v>
      </c>
      <c r="F84" s="15" t="n">
        <v>29.5</v>
      </c>
      <c r="G84" s="15" t="n">
        <v>16.6</v>
      </c>
      <c r="H84" s="16" t="n">
        <f aca="false">F84-G84</f>
        <v>12.9</v>
      </c>
      <c r="I84" s="11" t="n">
        <f aca="false">IFERROR(G84/C84,0)</f>
        <v>0.016880211511084</v>
      </c>
    </row>
    <row r="85" customFormat="false" ht="15" hidden="false" customHeight="false" outlineLevel="0" collapsed="false">
      <c r="A85" s="8" t="s">
        <v>56</v>
      </c>
      <c r="B85" s="8" t="s">
        <v>132</v>
      </c>
      <c r="C85" s="15" t="n">
        <v>327.5</v>
      </c>
      <c r="D85" s="9" t="n">
        <v>2236.74</v>
      </c>
      <c r="E85" s="10" t="n">
        <f aca="false">C85*D85</f>
        <v>732532.35</v>
      </c>
      <c r="F85" s="15" t="n">
        <v>10.9</v>
      </c>
      <c r="G85" s="15" t="n">
        <v>8.9</v>
      </c>
      <c r="H85" s="16" t="n">
        <f aca="false">F85-G85</f>
        <v>2</v>
      </c>
      <c r="I85" s="11" t="n">
        <f aca="false">IFERROR(G85/C85,0)</f>
        <v>0.027175572519084</v>
      </c>
    </row>
    <row r="86" customFormat="false" ht="15" hidden="false" customHeight="false" outlineLevel="0" collapsed="false">
      <c r="A86" s="8" t="s">
        <v>57</v>
      </c>
      <c r="B86" s="8" t="s">
        <v>130</v>
      </c>
      <c r="C86" s="15" t="n">
        <v>1947.1</v>
      </c>
      <c r="D86" s="9" t="n">
        <v>969.14</v>
      </c>
      <c r="E86" s="10" t="n">
        <f aca="false">C86*D86</f>
        <v>1887012.494</v>
      </c>
      <c r="F86" s="15" t="n">
        <v>56.1</v>
      </c>
      <c r="G86" s="15" t="n">
        <v>38.2</v>
      </c>
      <c r="H86" s="16" t="n">
        <f aca="false">F86-G86</f>
        <v>17.9</v>
      </c>
      <c r="I86" s="11" t="n">
        <f aca="false">IFERROR(G86/C86,0)</f>
        <v>0.0196189204457912</v>
      </c>
    </row>
    <row r="87" customFormat="false" ht="15" hidden="false" customHeight="false" outlineLevel="0" collapsed="false">
      <c r="A87" s="8" t="s">
        <v>57</v>
      </c>
      <c r="B87" s="8" t="s">
        <v>131</v>
      </c>
      <c r="C87" s="15" t="n">
        <v>979.2</v>
      </c>
      <c r="D87" s="9" t="n">
        <v>1355.22</v>
      </c>
      <c r="E87" s="10" t="n">
        <f aca="false">C87*D87</f>
        <v>1327031.424</v>
      </c>
      <c r="F87" s="15" t="n">
        <v>21.8</v>
      </c>
      <c r="G87" s="15" t="n">
        <v>26</v>
      </c>
      <c r="H87" s="16" t="n">
        <f aca="false">F87-G87</f>
        <v>-4.2</v>
      </c>
      <c r="I87" s="11" t="n">
        <f aca="false">IFERROR(G87/C87,0)</f>
        <v>0.0265522875816993</v>
      </c>
    </row>
    <row r="88" customFormat="false" ht="15" hidden="false" customHeight="false" outlineLevel="0" collapsed="false">
      <c r="A88" s="8" t="s">
        <v>57</v>
      </c>
      <c r="B88" s="8" t="s">
        <v>132</v>
      </c>
      <c r="C88" s="15" t="n">
        <v>326.5</v>
      </c>
      <c r="D88" s="9" t="n">
        <v>2242.75</v>
      </c>
      <c r="E88" s="10" t="n">
        <f aca="false">C88*D88</f>
        <v>732257.875</v>
      </c>
      <c r="F88" s="15" t="n">
        <v>9.7</v>
      </c>
      <c r="G88" s="15" t="n">
        <v>10.7</v>
      </c>
      <c r="H88" s="16" t="n">
        <f aca="false">F88-G88</f>
        <v>-1</v>
      </c>
      <c r="I88" s="11" t="n">
        <f aca="false">IFERROR(G88/C88,0)</f>
        <v>0.0327718223583461</v>
      </c>
    </row>
    <row r="89" customFormat="false" ht="15" hidden="false" customHeight="false" outlineLevel="0" collapsed="false">
      <c r="A89" s="8" t="s">
        <v>58</v>
      </c>
      <c r="B89" s="8" t="s">
        <v>130</v>
      </c>
      <c r="C89" s="15" t="n">
        <v>1970.3</v>
      </c>
      <c r="D89" s="9" t="n">
        <v>969.59</v>
      </c>
      <c r="E89" s="10" t="n">
        <f aca="false">C89*D89</f>
        <v>1910383.177</v>
      </c>
      <c r="F89" s="15" t="n">
        <v>55.7</v>
      </c>
      <c r="G89" s="15" t="n">
        <v>32.5</v>
      </c>
      <c r="H89" s="16" t="n">
        <f aca="false">F89-G89</f>
        <v>23.2</v>
      </c>
      <c r="I89" s="11" t="n">
        <f aca="false">IFERROR(G89/C89,0)</f>
        <v>0.0164949500076131</v>
      </c>
    </row>
    <row r="90" customFormat="false" ht="15" hidden="false" customHeight="false" outlineLevel="0" collapsed="false">
      <c r="A90" s="8" t="s">
        <v>58</v>
      </c>
      <c r="B90" s="8" t="s">
        <v>131</v>
      </c>
      <c r="C90" s="15" t="n">
        <v>992.3</v>
      </c>
      <c r="D90" s="9" t="n">
        <v>1356.36</v>
      </c>
      <c r="E90" s="10" t="n">
        <f aca="false">C90*D90</f>
        <v>1345916.028</v>
      </c>
      <c r="F90" s="15" t="n">
        <v>33.7</v>
      </c>
      <c r="G90" s="15" t="n">
        <v>20.6</v>
      </c>
      <c r="H90" s="16" t="n">
        <f aca="false">F90-G90</f>
        <v>13.1</v>
      </c>
      <c r="I90" s="11" t="n">
        <f aca="false">IFERROR(G90/C90,0)</f>
        <v>0.020759850851557</v>
      </c>
    </row>
    <row r="91" customFormat="false" ht="15" hidden="false" customHeight="false" outlineLevel="0" collapsed="false">
      <c r="A91" s="8" t="s">
        <v>58</v>
      </c>
      <c r="B91" s="8" t="s">
        <v>132</v>
      </c>
      <c r="C91" s="15" t="n">
        <v>328.4</v>
      </c>
      <c r="D91" s="9" t="n">
        <v>2255.93</v>
      </c>
      <c r="E91" s="10" t="n">
        <f aca="false">C91*D91</f>
        <v>740847.412</v>
      </c>
      <c r="F91" s="15" t="n">
        <v>12.1</v>
      </c>
      <c r="G91" s="15" t="n">
        <v>10.2</v>
      </c>
      <c r="H91" s="16" t="n">
        <f aca="false">F91-G91</f>
        <v>1.9</v>
      </c>
      <c r="I91" s="11" t="n">
        <f aca="false">IFERROR(G91/C91,0)</f>
        <v>0.0310596833130329</v>
      </c>
    </row>
    <row r="92" customFormat="false" ht="15" hidden="false" customHeight="false" outlineLevel="0" collapsed="false">
      <c r="A92" s="8" t="s">
        <v>59</v>
      </c>
      <c r="B92" s="8" t="s">
        <v>130</v>
      </c>
      <c r="C92" s="15" t="n">
        <v>1976.4</v>
      </c>
      <c r="D92" s="9" t="n">
        <v>977.82</v>
      </c>
      <c r="E92" s="10" t="n">
        <f aca="false">C92*D92</f>
        <v>1932563.448</v>
      </c>
      <c r="F92" s="15" t="n">
        <v>38.5</v>
      </c>
      <c r="G92" s="15" t="n">
        <v>32.5</v>
      </c>
      <c r="H92" s="16" t="n">
        <f aca="false">F92-G92</f>
        <v>6</v>
      </c>
      <c r="I92" s="11" t="n">
        <f aca="false">IFERROR(G92/C92,0)</f>
        <v>0.0164440396680834</v>
      </c>
    </row>
    <row r="93" customFormat="false" ht="15" hidden="false" customHeight="false" outlineLevel="0" collapsed="false">
      <c r="A93" s="8" t="s">
        <v>59</v>
      </c>
      <c r="B93" s="8" t="s">
        <v>131</v>
      </c>
      <c r="C93" s="15" t="n">
        <v>999.3</v>
      </c>
      <c r="D93" s="9" t="n">
        <v>1364.1</v>
      </c>
      <c r="E93" s="10" t="n">
        <f aca="false">C93*D93</f>
        <v>1363145.13</v>
      </c>
      <c r="F93" s="15" t="n">
        <v>26.9</v>
      </c>
      <c r="G93" s="15" t="n">
        <v>19.8</v>
      </c>
      <c r="H93" s="16" t="n">
        <f aca="false">F93-G93</f>
        <v>7.1</v>
      </c>
      <c r="I93" s="11" t="n">
        <f aca="false">IFERROR(G93/C93,0)</f>
        <v>0.0198138697087962</v>
      </c>
    </row>
    <row r="94" customFormat="false" ht="15" hidden="false" customHeight="false" outlineLevel="0" collapsed="false">
      <c r="A94" s="8" t="s">
        <v>59</v>
      </c>
      <c r="B94" s="8" t="s">
        <v>132</v>
      </c>
      <c r="C94" s="15" t="n">
        <v>330.2</v>
      </c>
      <c r="D94" s="9" t="n">
        <v>2265.59</v>
      </c>
      <c r="E94" s="10" t="n">
        <f aca="false">C94*D94</f>
        <v>748097.818</v>
      </c>
      <c r="F94" s="15" t="n">
        <v>10.8</v>
      </c>
      <c r="G94" s="15" t="n">
        <v>9</v>
      </c>
      <c r="H94" s="16" t="n">
        <f aca="false">F94-G94</f>
        <v>1.8</v>
      </c>
      <c r="I94" s="11" t="n">
        <f aca="false">IFERROR(G94/C94,0)</f>
        <v>0.0272562083585706</v>
      </c>
    </row>
    <row r="95" customFormat="false" ht="15" hidden="false" customHeight="false" outlineLevel="0" collapsed="false">
      <c r="A95" s="8" t="s">
        <v>60</v>
      </c>
      <c r="B95" s="8" t="s">
        <v>130</v>
      </c>
      <c r="C95" s="15" t="n">
        <v>1979.6</v>
      </c>
      <c r="D95" s="9" t="n">
        <v>986.57</v>
      </c>
      <c r="E95" s="10" t="n">
        <f aca="false">C95*D95</f>
        <v>1953013.972</v>
      </c>
      <c r="F95" s="15" t="n">
        <v>44.6</v>
      </c>
      <c r="G95" s="15" t="n">
        <v>41.4</v>
      </c>
      <c r="H95" s="16" t="n">
        <f aca="false">F95-G95</f>
        <v>3.2</v>
      </c>
      <c r="I95" s="11" t="n">
        <f aca="false">IFERROR(G95/C95,0)</f>
        <v>0.0209133158213781</v>
      </c>
    </row>
    <row r="96" customFormat="false" ht="15" hidden="false" customHeight="false" outlineLevel="0" collapsed="false">
      <c r="A96" s="8" t="s">
        <v>60</v>
      </c>
      <c r="B96" s="8" t="s">
        <v>131</v>
      </c>
      <c r="C96" s="15" t="n">
        <v>1003.3</v>
      </c>
      <c r="D96" s="9" t="n">
        <v>1371.09</v>
      </c>
      <c r="E96" s="10" t="n">
        <f aca="false">C96*D96</f>
        <v>1375614.597</v>
      </c>
      <c r="F96" s="15" t="n">
        <v>27.9</v>
      </c>
      <c r="G96" s="15" t="n">
        <v>23.9</v>
      </c>
      <c r="H96" s="16" t="n">
        <f aca="false">F96-G96</f>
        <v>4</v>
      </c>
      <c r="I96" s="11" t="n">
        <f aca="false">IFERROR(G96/C96,0)</f>
        <v>0.0238213894149307</v>
      </c>
    </row>
    <row r="97" customFormat="false" ht="15" hidden="false" customHeight="false" outlineLevel="0" collapsed="false">
      <c r="A97" s="8" t="s">
        <v>60</v>
      </c>
      <c r="B97" s="8" t="s">
        <v>132</v>
      </c>
      <c r="C97" s="15" t="n">
        <v>330.5</v>
      </c>
      <c r="D97" s="9" t="n">
        <v>2272.27</v>
      </c>
      <c r="E97" s="10" t="n">
        <f aca="false">C97*D97</f>
        <v>750985.235</v>
      </c>
      <c r="F97" s="15" t="n">
        <v>9.7</v>
      </c>
      <c r="G97" s="15" t="n">
        <v>9.4</v>
      </c>
      <c r="H97" s="16" t="n">
        <f aca="false">F97-G97</f>
        <v>0.299999999999999</v>
      </c>
      <c r="I97" s="11" t="n">
        <f aca="false">IFERROR(G97/C97,0)</f>
        <v>0.0284417549167927</v>
      </c>
    </row>
    <row r="98" customFormat="false" ht="15" hidden="false" customHeight="false" outlineLevel="0" collapsed="false">
      <c r="A98" s="8" t="s">
        <v>61</v>
      </c>
      <c r="B98" s="8" t="s">
        <v>130</v>
      </c>
      <c r="C98" s="15" t="n">
        <v>1999.4</v>
      </c>
      <c r="D98" s="9" t="n">
        <v>985.67</v>
      </c>
      <c r="E98" s="10" t="n">
        <f aca="false">C98*D98</f>
        <v>1970748.598</v>
      </c>
      <c r="F98" s="15" t="n">
        <v>58.7</v>
      </c>
      <c r="G98" s="15" t="n">
        <v>38.8</v>
      </c>
      <c r="H98" s="16" t="n">
        <f aca="false">F98-G98</f>
        <v>19.9</v>
      </c>
      <c r="I98" s="11" t="n">
        <f aca="false">IFERROR(G98/C98,0)</f>
        <v>0.019405821746524</v>
      </c>
    </row>
    <row r="99" customFormat="false" ht="15" hidden="false" customHeight="false" outlineLevel="0" collapsed="false">
      <c r="A99" s="8" t="s">
        <v>61</v>
      </c>
      <c r="B99" s="8" t="s">
        <v>131</v>
      </c>
      <c r="C99" s="15" t="n">
        <v>1026.3</v>
      </c>
      <c r="D99" s="9" t="n">
        <v>1367.96</v>
      </c>
      <c r="E99" s="10" t="n">
        <f aca="false">C99*D99</f>
        <v>1403937.348</v>
      </c>
      <c r="F99" s="15" t="n">
        <v>39.9</v>
      </c>
      <c r="G99" s="15" t="n">
        <v>17</v>
      </c>
      <c r="H99" s="16" t="n">
        <f aca="false">F99-G99</f>
        <v>22.9</v>
      </c>
      <c r="I99" s="11" t="n">
        <f aca="false">IFERROR(G99/C99,0)</f>
        <v>0.0165643574003703</v>
      </c>
    </row>
    <row r="100" customFormat="false" ht="15" hidden="false" customHeight="false" outlineLevel="0" collapsed="false">
      <c r="A100" s="8" t="s">
        <v>61</v>
      </c>
      <c r="B100" s="8" t="s">
        <v>132</v>
      </c>
      <c r="C100" s="15" t="n">
        <v>332</v>
      </c>
      <c r="D100" s="9" t="n">
        <v>2283.05</v>
      </c>
      <c r="E100" s="10" t="n">
        <f aca="false">C100*D100</f>
        <v>757972.6</v>
      </c>
      <c r="F100" s="15" t="n">
        <v>12.6</v>
      </c>
      <c r="G100" s="15" t="n">
        <v>11.1</v>
      </c>
      <c r="H100" s="16" t="n">
        <f aca="false">F100-G100</f>
        <v>1.5</v>
      </c>
      <c r="I100" s="11" t="n">
        <f aca="false">IFERROR(G100/C100,0)</f>
        <v>0.033433734939759</v>
      </c>
    </row>
    <row r="101" customFormat="false" ht="15" hidden="false" customHeight="false" outlineLevel="0" collapsed="false">
      <c r="A101" s="8" t="s">
        <v>62</v>
      </c>
      <c r="B101" s="8" t="s">
        <v>130</v>
      </c>
      <c r="C101" s="15" t="n">
        <v>2028.7</v>
      </c>
      <c r="D101" s="9" t="n">
        <v>990.07</v>
      </c>
      <c r="E101" s="10" t="n">
        <f aca="false">C101*D101</f>
        <v>2008555.009</v>
      </c>
      <c r="F101" s="15" t="n">
        <v>60.4</v>
      </c>
      <c r="G101" s="15" t="n">
        <v>31.1</v>
      </c>
      <c r="H101" s="16" t="n">
        <f aca="false">F101-G101</f>
        <v>29.3</v>
      </c>
      <c r="I101" s="11" t="n">
        <f aca="false">IFERROR(G101/C101,0)</f>
        <v>0.0153300142948686</v>
      </c>
    </row>
    <row r="102" customFormat="false" ht="15" hidden="false" customHeight="false" outlineLevel="0" collapsed="false">
      <c r="A102" s="8" t="s">
        <v>62</v>
      </c>
      <c r="B102" s="8" t="s">
        <v>131</v>
      </c>
      <c r="C102" s="15" t="n">
        <v>1030.1</v>
      </c>
      <c r="D102" s="9" t="n">
        <v>1373.59</v>
      </c>
      <c r="E102" s="10" t="n">
        <f aca="false">C102*D102</f>
        <v>1414935.059</v>
      </c>
      <c r="F102" s="15" t="n">
        <v>27.4</v>
      </c>
      <c r="G102" s="15" t="n">
        <v>23.5</v>
      </c>
      <c r="H102" s="16" t="n">
        <f aca="false">F102-G102</f>
        <v>3.9</v>
      </c>
      <c r="I102" s="11" t="n">
        <f aca="false">IFERROR(G102/C102,0)</f>
        <v>0.0228133190952335</v>
      </c>
    </row>
    <row r="103" customFormat="false" ht="15" hidden="false" customHeight="false" outlineLevel="0" collapsed="false">
      <c r="A103" s="8" t="s">
        <v>62</v>
      </c>
      <c r="B103" s="8" t="s">
        <v>132</v>
      </c>
      <c r="C103" s="15" t="n">
        <v>332</v>
      </c>
      <c r="D103" s="9" t="n">
        <v>2290.99</v>
      </c>
      <c r="E103" s="10" t="n">
        <f aca="false">C103*D103</f>
        <v>760608.68</v>
      </c>
      <c r="F103" s="15" t="n">
        <v>9.5</v>
      </c>
      <c r="G103" s="15" t="n">
        <v>9.5</v>
      </c>
      <c r="H103" s="16" t="n">
        <f aca="false">F103-G103</f>
        <v>0</v>
      </c>
      <c r="I103" s="11" t="n">
        <f aca="false">IFERROR(G103/C103,0)</f>
        <v>0.0286144578313253</v>
      </c>
    </row>
    <row r="104" customFormat="false" ht="15" hidden="false" customHeight="false" outlineLevel="0" collapsed="false">
      <c r="A104" s="8" t="s">
        <v>63</v>
      </c>
      <c r="B104" s="8" t="s">
        <v>130</v>
      </c>
      <c r="C104" s="15" t="n">
        <v>2043.2</v>
      </c>
      <c r="D104" s="9" t="n">
        <v>995.48</v>
      </c>
      <c r="E104" s="10" t="n">
        <f aca="false">C104*D104</f>
        <v>2033964.736</v>
      </c>
      <c r="F104" s="15" t="n">
        <v>52.4</v>
      </c>
      <c r="G104" s="15" t="n">
        <v>37.9</v>
      </c>
      <c r="H104" s="16" t="n">
        <f aca="false">F104-G104</f>
        <v>14.5</v>
      </c>
      <c r="I104" s="11" t="n">
        <f aca="false">IFERROR(G104/C104,0)</f>
        <v>0.0185493343774471</v>
      </c>
    </row>
    <row r="105" customFormat="false" ht="15" hidden="false" customHeight="false" outlineLevel="0" collapsed="false">
      <c r="A105" s="8" t="s">
        <v>63</v>
      </c>
      <c r="B105" s="8" t="s">
        <v>131</v>
      </c>
      <c r="C105" s="15" t="n">
        <v>1039.2</v>
      </c>
      <c r="D105" s="9" t="n">
        <v>1382.37</v>
      </c>
      <c r="E105" s="10" t="n">
        <f aca="false">C105*D105</f>
        <v>1436558.904</v>
      </c>
      <c r="F105" s="15" t="n">
        <v>28.2</v>
      </c>
      <c r="G105" s="15" t="n">
        <v>19.1</v>
      </c>
      <c r="H105" s="16" t="n">
        <f aca="false">F105-G105</f>
        <v>9.1</v>
      </c>
      <c r="I105" s="11" t="n">
        <f aca="false">IFERROR(G105/C105,0)</f>
        <v>0.0183795227097768</v>
      </c>
    </row>
    <row r="106" customFormat="false" ht="15" hidden="false" customHeight="false" outlineLevel="0" collapsed="false">
      <c r="A106" s="8" t="s">
        <v>63</v>
      </c>
      <c r="B106" s="8" t="s">
        <v>132</v>
      </c>
      <c r="C106" s="15" t="n">
        <v>332.6</v>
      </c>
      <c r="D106" s="9" t="n">
        <v>2283.4</v>
      </c>
      <c r="E106" s="10" t="n">
        <f aca="false">C106*D106</f>
        <v>759458.84</v>
      </c>
      <c r="F106" s="15" t="n">
        <v>8.4</v>
      </c>
      <c r="G106" s="15" t="n">
        <v>7.9</v>
      </c>
      <c r="H106" s="16" t="n">
        <f aca="false">F106-G106</f>
        <v>0.5</v>
      </c>
      <c r="I106" s="11" t="n">
        <f aca="false">IFERROR(G106/C106,0)</f>
        <v>0.023752254960914</v>
      </c>
    </row>
    <row r="107" customFormat="false" ht="15" hidden="false" customHeight="false" outlineLevel="0" collapsed="false">
      <c r="A107" s="8" t="s">
        <v>64</v>
      </c>
      <c r="B107" s="8" t="s">
        <v>130</v>
      </c>
      <c r="C107" s="15" t="n">
        <v>2070.1</v>
      </c>
      <c r="D107" s="9" t="n">
        <v>1004.59</v>
      </c>
      <c r="E107" s="10" t="n">
        <f aca="false">C107*D107</f>
        <v>2079601.759</v>
      </c>
      <c r="F107" s="15" t="n">
        <v>71.8</v>
      </c>
      <c r="G107" s="15" t="n">
        <v>44.9</v>
      </c>
      <c r="H107" s="16" t="n">
        <f aca="false">F107-G107</f>
        <v>26.9</v>
      </c>
      <c r="I107" s="11" t="n">
        <f aca="false">IFERROR(G107/C107,0)</f>
        <v>0.0216897734408966</v>
      </c>
    </row>
    <row r="108" customFormat="false" ht="15" hidden="false" customHeight="false" outlineLevel="0" collapsed="false">
      <c r="A108" s="8" t="s">
        <v>64</v>
      </c>
      <c r="B108" s="8" t="s">
        <v>131</v>
      </c>
      <c r="C108" s="15" t="n">
        <v>1052.7</v>
      </c>
      <c r="D108" s="9" t="n">
        <v>1380.97</v>
      </c>
      <c r="E108" s="10" t="n">
        <f aca="false">C108*D108</f>
        <v>1453747.119</v>
      </c>
      <c r="F108" s="15" t="n">
        <v>34.2</v>
      </c>
      <c r="G108" s="15" t="n">
        <v>20.7</v>
      </c>
      <c r="H108" s="16" t="n">
        <f aca="false">F108-G108</f>
        <v>13.5</v>
      </c>
      <c r="I108" s="11" t="n">
        <f aca="false">IFERROR(G108/C108,0)</f>
        <v>0.0196637218580792</v>
      </c>
    </row>
    <row r="109" customFormat="false" ht="15" hidden="false" customHeight="false" outlineLevel="0" collapsed="false">
      <c r="A109" s="8" t="s">
        <v>64</v>
      </c>
      <c r="B109" s="8" t="s">
        <v>132</v>
      </c>
      <c r="C109" s="15" t="n">
        <v>335.5</v>
      </c>
      <c r="D109" s="9" t="n">
        <v>2290.11</v>
      </c>
      <c r="E109" s="10" t="n">
        <f aca="false">C109*D109</f>
        <v>768331.905</v>
      </c>
      <c r="F109" s="15" t="n">
        <v>12.5</v>
      </c>
      <c r="G109" s="15" t="n">
        <v>9.5</v>
      </c>
      <c r="H109" s="16" t="n">
        <f aca="false">F109-G109</f>
        <v>3</v>
      </c>
      <c r="I109" s="11" t="n">
        <f aca="false">IFERROR(G109/C109,0)</f>
        <v>0.0283159463487332</v>
      </c>
    </row>
    <row r="110" customFormat="false" ht="15" hidden="false" customHeight="false" outlineLevel="0" collapsed="false">
      <c r="A110" s="8" t="s">
        <v>65</v>
      </c>
      <c r="B110" s="8" t="s">
        <v>130</v>
      </c>
      <c r="C110" s="15" t="n">
        <v>2078.9</v>
      </c>
      <c r="D110" s="9" t="n">
        <v>1007.95</v>
      </c>
      <c r="E110" s="10" t="n">
        <f aca="false">C110*D110</f>
        <v>2095427.255</v>
      </c>
      <c r="F110" s="15" t="n">
        <v>54.6</v>
      </c>
      <c r="G110" s="15" t="n">
        <v>45.8</v>
      </c>
      <c r="H110" s="16" t="n">
        <f aca="false">F110-G110</f>
        <v>8.8</v>
      </c>
      <c r="I110" s="11" t="n">
        <f aca="false">IFERROR(G110/C110,0)</f>
        <v>0.0220308817162923</v>
      </c>
    </row>
    <row r="111" customFormat="false" ht="15" hidden="false" customHeight="false" outlineLevel="0" collapsed="false">
      <c r="A111" s="8" t="s">
        <v>65</v>
      </c>
      <c r="B111" s="8" t="s">
        <v>131</v>
      </c>
      <c r="C111" s="15" t="n">
        <v>1056.7</v>
      </c>
      <c r="D111" s="9" t="n">
        <v>1384.55</v>
      </c>
      <c r="E111" s="10" t="n">
        <f aca="false">C111*D111</f>
        <v>1463053.985</v>
      </c>
      <c r="F111" s="15" t="n">
        <v>27.2</v>
      </c>
      <c r="G111" s="15" t="n">
        <v>23.2</v>
      </c>
      <c r="H111" s="16" t="n">
        <f aca="false">F111-G111</f>
        <v>4</v>
      </c>
      <c r="I111" s="11" t="n">
        <f aca="false">IFERROR(G111/C111,0)</f>
        <v>0.0219551433708716</v>
      </c>
    </row>
    <row r="112" customFormat="false" ht="15" hidden="false" customHeight="false" outlineLevel="0" collapsed="false">
      <c r="A112" s="8" t="s">
        <v>65</v>
      </c>
      <c r="B112" s="8" t="s">
        <v>132</v>
      </c>
      <c r="C112" s="15" t="n">
        <v>334.8</v>
      </c>
      <c r="D112" s="9" t="n">
        <v>2293.74</v>
      </c>
      <c r="E112" s="10" t="n">
        <f aca="false">C112*D112</f>
        <v>767944.152</v>
      </c>
      <c r="F112" s="15" t="n">
        <v>9.4</v>
      </c>
      <c r="G112" s="15" t="n">
        <v>10.1</v>
      </c>
      <c r="H112" s="16" t="n">
        <f aca="false">F112-G112</f>
        <v>-0.699999999999999</v>
      </c>
      <c r="I112" s="11" t="n">
        <f aca="false">IFERROR(G112/C112,0)</f>
        <v>0.0301672640382318</v>
      </c>
    </row>
    <row r="113" customFormat="false" ht="15" hidden="false" customHeight="false" outlineLevel="0" collapsed="false">
      <c r="A113" s="8" t="s">
        <v>66</v>
      </c>
      <c r="B113" s="8" t="s">
        <v>130</v>
      </c>
      <c r="C113" s="15" t="n">
        <v>2093.9</v>
      </c>
      <c r="D113" s="9" t="n">
        <v>1020.76</v>
      </c>
      <c r="E113" s="10" t="n">
        <f aca="false">C113*D113</f>
        <v>2137369.364</v>
      </c>
      <c r="F113" s="15" t="n">
        <v>55.2</v>
      </c>
      <c r="G113" s="15" t="n">
        <v>40.2</v>
      </c>
      <c r="H113" s="16" t="n">
        <f aca="false">F113-G113</f>
        <v>15</v>
      </c>
      <c r="I113" s="11" t="n">
        <f aca="false">IFERROR(G113/C113,0)</f>
        <v>0.0191986245761498</v>
      </c>
    </row>
    <row r="114" customFormat="false" ht="15" hidden="false" customHeight="false" outlineLevel="0" collapsed="false">
      <c r="A114" s="8" t="s">
        <v>66</v>
      </c>
      <c r="B114" s="8" t="s">
        <v>131</v>
      </c>
      <c r="C114" s="15" t="n">
        <v>1061.5</v>
      </c>
      <c r="D114" s="9" t="n">
        <v>1385.1</v>
      </c>
      <c r="E114" s="10" t="n">
        <f aca="false">C114*D114</f>
        <v>1470283.65</v>
      </c>
      <c r="F114" s="15" t="n">
        <v>32.8</v>
      </c>
      <c r="G114" s="15" t="n">
        <v>28</v>
      </c>
      <c r="H114" s="16" t="n">
        <f aca="false">F114-G114</f>
        <v>4.8</v>
      </c>
      <c r="I114" s="11" t="n">
        <f aca="false">IFERROR(G114/C114,0)</f>
        <v>0.0263777673104098</v>
      </c>
    </row>
    <row r="115" customFormat="false" ht="15" hidden="false" customHeight="false" outlineLevel="0" collapsed="false">
      <c r="A115" s="8" t="s">
        <v>66</v>
      </c>
      <c r="B115" s="8" t="s">
        <v>132</v>
      </c>
      <c r="C115" s="15" t="n">
        <v>336</v>
      </c>
      <c r="D115" s="9" t="n">
        <v>2326.17</v>
      </c>
      <c r="E115" s="10" t="n">
        <f aca="false">C115*D115</f>
        <v>781593.12</v>
      </c>
      <c r="F115" s="15" t="n">
        <v>11.6</v>
      </c>
      <c r="G115" s="15" t="n">
        <v>10.3</v>
      </c>
      <c r="H115" s="16" t="n">
        <f aca="false">F115-G115</f>
        <v>1.3</v>
      </c>
      <c r="I115" s="11" t="n">
        <f aca="false">IFERROR(G115/C115,0)</f>
        <v>0.0306547619047619</v>
      </c>
    </row>
    <row r="116" customFormat="false" ht="15" hidden="false" customHeight="false" outlineLevel="0" collapsed="false">
      <c r="A116" s="8" t="s">
        <v>67</v>
      </c>
      <c r="B116" s="8" t="s">
        <v>130</v>
      </c>
      <c r="C116" s="15" t="n">
        <v>2106.3</v>
      </c>
      <c r="D116" s="9" t="n">
        <v>1011.83</v>
      </c>
      <c r="E116" s="10" t="n">
        <f aca="false">C116*D116</f>
        <v>2131217.529</v>
      </c>
      <c r="F116" s="15" t="n">
        <v>46.7</v>
      </c>
      <c r="G116" s="15" t="n">
        <v>34.3</v>
      </c>
      <c r="H116" s="16" t="n">
        <f aca="false">F116-G116</f>
        <v>12.4</v>
      </c>
      <c r="I116" s="11" t="n">
        <f aca="false">IFERROR(G116/C116,0)</f>
        <v>0.0162844798936524</v>
      </c>
    </row>
    <row r="117" customFormat="false" ht="15" hidden="false" customHeight="false" outlineLevel="0" collapsed="false">
      <c r="A117" s="8" t="s">
        <v>67</v>
      </c>
      <c r="B117" s="8" t="s">
        <v>131</v>
      </c>
      <c r="C117" s="15" t="n">
        <v>1068.1</v>
      </c>
      <c r="D117" s="9" t="n">
        <v>1393.27</v>
      </c>
      <c r="E117" s="10" t="n">
        <f aca="false">C117*D117</f>
        <v>1488151.687</v>
      </c>
      <c r="F117" s="15" t="n">
        <v>25.4</v>
      </c>
      <c r="G117" s="15" t="n">
        <v>18.8</v>
      </c>
      <c r="H117" s="16" t="n">
        <f aca="false">F117-G117</f>
        <v>6.6</v>
      </c>
      <c r="I117" s="11" t="n">
        <f aca="false">IFERROR(G117/C117,0)</f>
        <v>0.0176013481883719</v>
      </c>
    </row>
    <row r="118" customFormat="false" ht="15" hidden="false" customHeight="false" outlineLevel="0" collapsed="false">
      <c r="A118" s="8" t="s">
        <v>67</v>
      </c>
      <c r="B118" s="8" t="s">
        <v>132</v>
      </c>
      <c r="C118" s="15" t="n">
        <v>333.7</v>
      </c>
      <c r="D118" s="9" t="n">
        <v>2341.76</v>
      </c>
      <c r="E118" s="10" t="n">
        <f aca="false">C118*D118</f>
        <v>781445.312</v>
      </c>
      <c r="F118" s="15" t="n">
        <v>10.6</v>
      </c>
      <c r="G118" s="15" t="n">
        <v>12.9</v>
      </c>
      <c r="H118" s="16" t="n">
        <f aca="false">F118-G118</f>
        <v>-2.3</v>
      </c>
      <c r="I118" s="11" t="n">
        <f aca="false">IFERROR(G118/C118,0)</f>
        <v>0.0386574767755469</v>
      </c>
    </row>
    <row r="119" customFormat="false" ht="15" hidden="false" customHeight="false" outlineLevel="0" collapsed="false">
      <c r="A119" s="8" t="s">
        <v>68</v>
      </c>
      <c r="B119" s="8" t="s">
        <v>130</v>
      </c>
      <c r="C119" s="15" t="n">
        <v>2114.5</v>
      </c>
      <c r="D119" s="9" t="n">
        <v>1007.86</v>
      </c>
      <c r="E119" s="10" t="n">
        <f aca="false">C119*D119</f>
        <v>2131119.97</v>
      </c>
      <c r="F119" s="15" t="n">
        <v>48.9</v>
      </c>
      <c r="G119" s="15" t="n">
        <v>40.7</v>
      </c>
      <c r="H119" s="16" t="n">
        <f aca="false">F119-G119</f>
        <v>8.2</v>
      </c>
      <c r="I119" s="11" t="n">
        <f aca="false">IFERROR(G119/C119,0)</f>
        <v>0.0192480491842043</v>
      </c>
    </row>
    <row r="120" customFormat="false" ht="15" hidden="false" customHeight="false" outlineLevel="0" collapsed="false">
      <c r="A120" s="8" t="s">
        <v>68</v>
      </c>
      <c r="B120" s="8" t="s">
        <v>131</v>
      </c>
      <c r="C120" s="15" t="n">
        <v>1081.6</v>
      </c>
      <c r="D120" s="9" t="n">
        <v>1396.32</v>
      </c>
      <c r="E120" s="10" t="n">
        <f aca="false">C120*D120</f>
        <v>1510259.712</v>
      </c>
      <c r="F120" s="15" t="n">
        <v>38.6</v>
      </c>
      <c r="G120" s="15" t="n">
        <v>25.1</v>
      </c>
      <c r="H120" s="16" t="n">
        <f aca="false">F120-G120</f>
        <v>13.5</v>
      </c>
      <c r="I120" s="11" t="n">
        <f aca="false">IFERROR(G120/C120,0)</f>
        <v>0.0232063609467456</v>
      </c>
    </row>
    <row r="121" customFormat="false" ht="15" hidden="false" customHeight="false" outlineLevel="0" collapsed="false">
      <c r="A121" s="8" t="s">
        <v>68</v>
      </c>
      <c r="B121" s="8" t="s">
        <v>132</v>
      </c>
      <c r="C121" s="15" t="n">
        <v>329.1</v>
      </c>
      <c r="D121" s="9" t="n">
        <v>2342.49</v>
      </c>
      <c r="E121" s="10" t="n">
        <f aca="false">C121*D121</f>
        <v>770913.459</v>
      </c>
      <c r="F121" s="15" t="n">
        <v>7.4</v>
      </c>
      <c r="G121" s="15" t="n">
        <v>12</v>
      </c>
      <c r="H121" s="16" t="n">
        <f aca="false">F121-G121</f>
        <v>-4.6</v>
      </c>
      <c r="I121" s="11" t="n">
        <f aca="false">IFERROR(G121/C121,0)</f>
        <v>0.0364630811303555</v>
      </c>
    </row>
    <row r="122" customFormat="false" ht="15" hidden="false" customHeight="false" outlineLevel="0" collapsed="false">
      <c r="A122" s="8" t="s">
        <v>69</v>
      </c>
      <c r="B122" s="8" t="s">
        <v>130</v>
      </c>
      <c r="C122" s="15" t="n">
        <v>2119</v>
      </c>
      <c r="D122" s="9" t="n">
        <v>1011.93</v>
      </c>
      <c r="E122" s="10" t="n">
        <f aca="false">C122*D122</f>
        <v>2144279.67</v>
      </c>
      <c r="F122" s="15" t="n">
        <v>39.2</v>
      </c>
      <c r="G122" s="15" t="n">
        <v>34.6</v>
      </c>
      <c r="H122" s="16" t="n">
        <f aca="false">F122-G122</f>
        <v>4.6</v>
      </c>
      <c r="I122" s="11" t="n">
        <f aca="false">IFERROR(G122/C122,0)</f>
        <v>0.0163284568192544</v>
      </c>
    </row>
    <row r="123" customFormat="false" ht="15" hidden="false" customHeight="false" outlineLevel="0" collapsed="false">
      <c r="A123" s="8" t="s">
        <v>69</v>
      </c>
      <c r="B123" s="8" t="s">
        <v>131</v>
      </c>
      <c r="C123" s="15" t="n">
        <v>1089.6</v>
      </c>
      <c r="D123" s="9" t="n">
        <v>1408.52</v>
      </c>
      <c r="E123" s="10" t="n">
        <f aca="false">C123*D123</f>
        <v>1534723.392</v>
      </c>
      <c r="F123" s="15" t="n">
        <v>28.2</v>
      </c>
      <c r="G123" s="15" t="n">
        <v>20.2</v>
      </c>
      <c r="H123" s="16" t="n">
        <f aca="false">F123-G123</f>
        <v>8</v>
      </c>
      <c r="I123" s="11" t="n">
        <f aca="false">IFERROR(G123/C123,0)</f>
        <v>0.0185389133627019</v>
      </c>
    </row>
    <row r="124" customFormat="false" ht="15" hidden="false" customHeight="false" outlineLevel="0" collapsed="false">
      <c r="A124" s="8" t="s">
        <v>69</v>
      </c>
      <c r="B124" s="8" t="s">
        <v>132</v>
      </c>
      <c r="C124" s="15" t="n">
        <v>327.5</v>
      </c>
      <c r="D124" s="9" t="n">
        <v>2346.53</v>
      </c>
      <c r="E124" s="10" t="n">
        <f aca="false">C124*D124</f>
        <v>768488.575</v>
      </c>
      <c r="F124" s="15" t="n">
        <v>8.1</v>
      </c>
      <c r="G124" s="15" t="n">
        <v>9.7</v>
      </c>
      <c r="H124" s="16" t="n">
        <f aca="false">F124-G124</f>
        <v>-1.6</v>
      </c>
      <c r="I124" s="11" t="n">
        <f aca="false">IFERROR(G124/C124,0)</f>
        <v>0.029618320610687</v>
      </c>
    </row>
    <row r="125" customFormat="false" ht="15" hidden="false" customHeight="false" outlineLevel="0" collapsed="false">
      <c r="A125" s="8" t="s">
        <v>70</v>
      </c>
      <c r="B125" s="8" t="s">
        <v>130</v>
      </c>
      <c r="C125" s="15" t="n">
        <v>2152.1</v>
      </c>
      <c r="D125" s="9" t="n">
        <v>1006.66</v>
      </c>
      <c r="E125" s="10" t="n">
        <f aca="false">C125*D125</f>
        <v>2166432.986</v>
      </c>
      <c r="F125" s="15" t="n">
        <v>64.8</v>
      </c>
      <c r="G125" s="15" t="n">
        <v>31.7</v>
      </c>
      <c r="H125" s="16" t="n">
        <f aca="false">F125-G125</f>
        <v>33.1</v>
      </c>
      <c r="I125" s="11" t="n">
        <f aca="false">IFERROR(G125/C125,0)</f>
        <v>0.014729798801171</v>
      </c>
    </row>
    <row r="126" customFormat="false" ht="15" hidden="false" customHeight="false" outlineLevel="0" collapsed="false">
      <c r="A126" s="8" t="s">
        <v>70</v>
      </c>
      <c r="B126" s="8" t="s">
        <v>131</v>
      </c>
      <c r="C126" s="15" t="n">
        <v>1102.6</v>
      </c>
      <c r="D126" s="9" t="n">
        <v>1409.23</v>
      </c>
      <c r="E126" s="10" t="n">
        <f aca="false">C126*D126</f>
        <v>1553816.998</v>
      </c>
      <c r="F126" s="15" t="n">
        <v>35.8</v>
      </c>
      <c r="G126" s="15" t="n">
        <v>22.9</v>
      </c>
      <c r="H126" s="16" t="n">
        <f aca="false">F126-G126</f>
        <v>12.9</v>
      </c>
      <c r="I126" s="11" t="n">
        <f aca="false">IFERROR(G126/C126,0)</f>
        <v>0.0207690912388899</v>
      </c>
    </row>
    <row r="127" customFormat="false" ht="15" hidden="false" customHeight="false" outlineLevel="0" collapsed="false">
      <c r="A127" s="8" t="s">
        <v>70</v>
      </c>
      <c r="B127" s="8" t="s">
        <v>132</v>
      </c>
      <c r="C127" s="15" t="n">
        <v>330.8</v>
      </c>
      <c r="D127" s="9" t="n">
        <v>2365.48</v>
      </c>
      <c r="E127" s="10" t="n">
        <f aca="false">C127*D127</f>
        <v>782500.784</v>
      </c>
      <c r="F127" s="15" t="n">
        <v>13.3</v>
      </c>
      <c r="G127" s="15" t="n">
        <v>10</v>
      </c>
      <c r="H127" s="16" t="n">
        <f aca="false">F127-G127</f>
        <v>3.3</v>
      </c>
      <c r="I127" s="11" t="n">
        <f aca="false">IFERROR(G127/C127,0)</f>
        <v>0.030229746070133</v>
      </c>
    </row>
    <row r="128" customFormat="false" ht="15" hidden="false" customHeight="false" outlineLevel="0" collapsed="false">
      <c r="A128" s="8" t="s">
        <v>71</v>
      </c>
      <c r="B128" s="8" t="s">
        <v>130</v>
      </c>
      <c r="C128" s="15" t="n">
        <v>2170.3</v>
      </c>
      <c r="D128" s="9" t="n">
        <v>1009.18</v>
      </c>
      <c r="E128" s="10" t="n">
        <f aca="false">C128*D128</f>
        <v>2190223.354</v>
      </c>
      <c r="F128" s="15" t="n">
        <v>67.2</v>
      </c>
      <c r="G128" s="15" t="n">
        <v>48.9</v>
      </c>
      <c r="H128" s="16" t="n">
        <f aca="false">F128-G128</f>
        <v>18.3</v>
      </c>
      <c r="I128" s="11" t="n">
        <f aca="false">IFERROR(G128/C128,0)</f>
        <v>0.022531447265355</v>
      </c>
    </row>
    <row r="129" customFormat="false" ht="15" hidden="false" customHeight="false" outlineLevel="0" collapsed="false">
      <c r="A129" s="8" t="s">
        <v>71</v>
      </c>
      <c r="B129" s="8" t="s">
        <v>131</v>
      </c>
      <c r="C129" s="15" t="n">
        <v>1107.1</v>
      </c>
      <c r="D129" s="9" t="n">
        <v>1427.85</v>
      </c>
      <c r="E129" s="10" t="n">
        <f aca="false">C129*D129</f>
        <v>1580772.735</v>
      </c>
      <c r="F129" s="15" t="n">
        <v>28.7</v>
      </c>
      <c r="G129" s="15" t="n">
        <v>24.2</v>
      </c>
      <c r="H129" s="16" t="n">
        <f aca="false">F129-G129</f>
        <v>4.5</v>
      </c>
      <c r="I129" s="11" t="n">
        <f aca="false">IFERROR(G129/C129,0)</f>
        <v>0.0218589106675097</v>
      </c>
    </row>
    <row r="130" customFormat="false" ht="15" hidden="false" customHeight="false" outlineLevel="0" collapsed="false">
      <c r="A130" s="8" t="s">
        <v>71</v>
      </c>
      <c r="B130" s="8" t="s">
        <v>132</v>
      </c>
      <c r="C130" s="15" t="n">
        <v>326.6</v>
      </c>
      <c r="D130" s="9" t="n">
        <v>2382.87</v>
      </c>
      <c r="E130" s="10" t="n">
        <f aca="false">C130*D130</f>
        <v>778245.342</v>
      </c>
      <c r="F130" s="15" t="n">
        <v>6.8</v>
      </c>
      <c r="G130" s="15" t="n">
        <v>10.9</v>
      </c>
      <c r="H130" s="16" t="n">
        <f aca="false">F130-G130</f>
        <v>-4.1</v>
      </c>
      <c r="I130" s="11" t="n">
        <f aca="false">IFERROR(G130/C130,0)</f>
        <v>0.0333741579914268</v>
      </c>
    </row>
    <row r="131" customFormat="false" ht="15" hidden="false" customHeight="false" outlineLevel="0" collapsed="false">
      <c r="A131" s="8" t="s">
        <v>72</v>
      </c>
      <c r="B131" s="8" t="s">
        <v>130</v>
      </c>
      <c r="C131" s="15" t="n">
        <v>2178.3</v>
      </c>
      <c r="D131" s="9" t="n">
        <v>1011.59</v>
      </c>
      <c r="E131" s="10" t="n">
        <f aca="false">C131*D131</f>
        <v>2203546.497</v>
      </c>
      <c r="F131" s="15" t="n">
        <v>35</v>
      </c>
      <c r="G131" s="15" t="n">
        <v>27.1</v>
      </c>
      <c r="H131" s="16" t="n">
        <f aca="false">F131-G131</f>
        <v>7.9</v>
      </c>
      <c r="I131" s="11" t="n">
        <f aca="false">IFERROR(G131/C131,0)</f>
        <v>0.0124408942753523</v>
      </c>
    </row>
    <row r="132" customFormat="false" ht="15" hidden="false" customHeight="false" outlineLevel="0" collapsed="false">
      <c r="A132" s="8" t="s">
        <v>72</v>
      </c>
      <c r="B132" s="8" t="s">
        <v>131</v>
      </c>
      <c r="C132" s="15" t="n">
        <v>1107.4</v>
      </c>
      <c r="D132" s="9" t="n">
        <v>1435.63</v>
      </c>
      <c r="E132" s="10" t="n">
        <f aca="false">C132*D132</f>
        <v>1589816.662</v>
      </c>
      <c r="F132" s="15" t="n">
        <v>27.4</v>
      </c>
      <c r="G132" s="15" t="n">
        <v>27.1</v>
      </c>
      <c r="H132" s="16" t="n">
        <f aca="false">F132-G132</f>
        <v>0.299999999999997</v>
      </c>
      <c r="I132" s="11" t="n">
        <f aca="false">IFERROR(G132/C132,0)</f>
        <v>0.0244717355968936</v>
      </c>
    </row>
    <row r="133" customFormat="false" ht="15" hidden="false" customHeight="false" outlineLevel="0" collapsed="false">
      <c r="A133" s="8" t="s">
        <v>72</v>
      </c>
      <c r="B133" s="8" t="s">
        <v>132</v>
      </c>
      <c r="C133" s="15" t="n">
        <v>330.3</v>
      </c>
      <c r="D133" s="9" t="n">
        <v>2360.89</v>
      </c>
      <c r="E133" s="10" t="n">
        <f aca="false">C133*D133</f>
        <v>779801.967</v>
      </c>
      <c r="F133" s="15" t="n">
        <v>11.4</v>
      </c>
      <c r="G133" s="15" t="n">
        <v>7.8</v>
      </c>
      <c r="H133" s="16" t="n">
        <f aca="false">F133-G133</f>
        <v>3.6</v>
      </c>
      <c r="I133" s="11" t="n">
        <f aca="false">IFERROR(G133/C133,0)</f>
        <v>0.0236148955495005</v>
      </c>
    </row>
    <row r="134" customFormat="false" ht="15" hidden="false" customHeight="false" outlineLevel="0" collapsed="false">
      <c r="A134" s="8" t="s">
        <v>73</v>
      </c>
      <c r="B134" s="8" t="s">
        <v>130</v>
      </c>
      <c r="C134" s="15" t="n">
        <v>2200.8</v>
      </c>
      <c r="D134" s="9" t="n">
        <v>1003.09</v>
      </c>
      <c r="E134" s="10" t="n">
        <f aca="false">C134*D134</f>
        <v>2207600.472</v>
      </c>
      <c r="F134" s="15" t="n">
        <v>61.6</v>
      </c>
      <c r="G134" s="15" t="n">
        <v>39</v>
      </c>
      <c r="H134" s="16" t="n">
        <f aca="false">F134-G134</f>
        <v>22.6</v>
      </c>
      <c r="I134" s="11" t="n">
        <f aca="false">IFERROR(G134/C134,0)</f>
        <v>0.0177208287895311</v>
      </c>
    </row>
    <row r="135" customFormat="false" ht="15" hidden="false" customHeight="false" outlineLevel="0" collapsed="false">
      <c r="A135" s="8" t="s">
        <v>73</v>
      </c>
      <c r="B135" s="8" t="s">
        <v>131</v>
      </c>
      <c r="C135" s="15" t="n">
        <v>1118.5</v>
      </c>
      <c r="D135" s="9" t="n">
        <v>1448.57</v>
      </c>
      <c r="E135" s="10" t="n">
        <f aca="false">C135*D135</f>
        <v>1620225.545</v>
      </c>
      <c r="F135" s="15" t="n">
        <v>29</v>
      </c>
      <c r="G135" s="15" t="n">
        <v>17.8</v>
      </c>
      <c r="H135" s="16" t="n">
        <f aca="false">F135-G135</f>
        <v>11.2</v>
      </c>
      <c r="I135" s="11" t="n">
        <f aca="false">IFERROR(G135/C135,0)</f>
        <v>0.0159141707644166</v>
      </c>
    </row>
    <row r="136" customFormat="false" ht="15" hidden="false" customHeight="false" outlineLevel="0" collapsed="false">
      <c r="A136" s="8" t="s">
        <v>73</v>
      </c>
      <c r="B136" s="8" t="s">
        <v>132</v>
      </c>
      <c r="C136" s="15" t="n">
        <v>332.9</v>
      </c>
      <c r="D136" s="9" t="n">
        <v>2355.98</v>
      </c>
      <c r="E136" s="10" t="n">
        <f aca="false">C136*D136</f>
        <v>784305.742</v>
      </c>
      <c r="F136" s="15" t="n">
        <v>11.2</v>
      </c>
      <c r="G136" s="15" t="n">
        <v>8.5</v>
      </c>
      <c r="H136" s="16" t="n">
        <f aca="false">F136-G136</f>
        <v>2.7</v>
      </c>
      <c r="I136" s="11" t="n">
        <f aca="false">IFERROR(G136/C136,0)</f>
        <v>0.0255331931510964</v>
      </c>
    </row>
    <row r="137" customFormat="false" ht="15" hidden="false" customHeight="false" outlineLevel="0" collapsed="false">
      <c r="A137" s="8" t="s">
        <v>74</v>
      </c>
      <c r="B137" s="8" t="s">
        <v>130</v>
      </c>
      <c r="C137" s="15" t="n">
        <v>2215.4</v>
      </c>
      <c r="D137" s="9" t="n">
        <v>1001.17</v>
      </c>
      <c r="E137" s="10" t="n">
        <f aca="false">C137*D137</f>
        <v>2217992.018</v>
      </c>
      <c r="F137" s="15" t="n">
        <v>59.9</v>
      </c>
      <c r="G137" s="15" t="n">
        <v>45.3</v>
      </c>
      <c r="H137" s="16" t="n">
        <f aca="false">F137-G137</f>
        <v>14.6</v>
      </c>
      <c r="I137" s="11" t="n">
        <f aca="false">IFERROR(G137/C137,0)</f>
        <v>0.0204477746682315</v>
      </c>
    </row>
    <row r="138" customFormat="false" ht="15" hidden="false" customHeight="false" outlineLevel="0" collapsed="false">
      <c r="A138" s="8" t="s">
        <v>74</v>
      </c>
      <c r="B138" s="8" t="s">
        <v>131</v>
      </c>
      <c r="C138" s="15" t="n">
        <v>1131.3</v>
      </c>
      <c r="D138" s="9" t="n">
        <v>1448.92</v>
      </c>
      <c r="E138" s="10" t="n">
        <f aca="false">C138*D138</f>
        <v>1639163.196</v>
      </c>
      <c r="F138" s="15" t="n">
        <v>33.3</v>
      </c>
      <c r="G138" s="15" t="n">
        <v>20.6</v>
      </c>
      <c r="H138" s="16" t="n">
        <f aca="false">F138-G138</f>
        <v>12.7</v>
      </c>
      <c r="I138" s="11" t="n">
        <f aca="false">IFERROR(G138/C138,0)</f>
        <v>0.018209139927517</v>
      </c>
    </row>
    <row r="139" customFormat="false" ht="15" hidden="false" customHeight="false" outlineLevel="0" collapsed="false">
      <c r="A139" s="8" t="s">
        <v>74</v>
      </c>
      <c r="B139" s="8" t="s">
        <v>132</v>
      </c>
      <c r="C139" s="15" t="n">
        <v>335.3</v>
      </c>
      <c r="D139" s="9" t="n">
        <v>2350.51</v>
      </c>
      <c r="E139" s="10" t="n">
        <f aca="false">C139*D139</f>
        <v>788126.003</v>
      </c>
      <c r="F139" s="15" t="n">
        <v>10.8</v>
      </c>
      <c r="G139" s="15" t="n">
        <v>8.4</v>
      </c>
      <c r="H139" s="16" t="n">
        <f aca="false">F139-G139</f>
        <v>2.4</v>
      </c>
      <c r="I139" s="11" t="n">
        <f aca="false">IFERROR(G139/C139,0)</f>
        <v>0.0250521920668058</v>
      </c>
    </row>
    <row r="140" customFormat="false" ht="15" hidden="false" customHeight="false" outlineLevel="0" collapsed="false">
      <c r="A140" s="8" t="s">
        <v>75</v>
      </c>
      <c r="B140" s="8" t="s">
        <v>130</v>
      </c>
      <c r="C140" s="15" t="n">
        <v>2255.3</v>
      </c>
      <c r="D140" s="9" t="n">
        <v>1000.97</v>
      </c>
      <c r="E140" s="10" t="n">
        <f aca="false">C140*D140</f>
        <v>2257487.641</v>
      </c>
      <c r="F140" s="15" t="n">
        <v>80</v>
      </c>
      <c r="G140" s="15" t="n">
        <v>40.1</v>
      </c>
      <c r="H140" s="16" t="n">
        <f aca="false">F140-G140</f>
        <v>39.9</v>
      </c>
      <c r="I140" s="11" t="n">
        <f aca="false">IFERROR(G140/C140,0)</f>
        <v>0.0177803396443932</v>
      </c>
    </row>
    <row r="141" customFormat="false" ht="15" hidden="false" customHeight="false" outlineLevel="0" collapsed="false">
      <c r="A141" s="8" t="s">
        <v>75</v>
      </c>
      <c r="B141" s="8" t="s">
        <v>131</v>
      </c>
      <c r="C141" s="15" t="n">
        <v>1140.9</v>
      </c>
      <c r="D141" s="9" t="n">
        <v>1454.25</v>
      </c>
      <c r="E141" s="10" t="n">
        <f aca="false">C141*D141</f>
        <v>1659153.825</v>
      </c>
      <c r="F141" s="15" t="n">
        <v>31.9</v>
      </c>
      <c r="G141" s="15" t="n">
        <v>22.2</v>
      </c>
      <c r="H141" s="16" t="n">
        <f aca="false">F141-G141</f>
        <v>9.7</v>
      </c>
      <c r="I141" s="11" t="n">
        <f aca="false">IFERROR(G141/C141,0)</f>
        <v>0.0194583223770707</v>
      </c>
    </row>
    <row r="142" customFormat="false" ht="15" hidden="false" customHeight="false" outlineLevel="0" collapsed="false">
      <c r="A142" s="8" t="s">
        <v>75</v>
      </c>
      <c r="B142" s="8" t="s">
        <v>132</v>
      </c>
      <c r="C142" s="15" t="n">
        <v>336.2</v>
      </c>
      <c r="D142" s="9" t="n">
        <v>2345.37</v>
      </c>
      <c r="E142" s="10" t="n">
        <f aca="false">C142*D142</f>
        <v>788513.394</v>
      </c>
      <c r="F142" s="15" t="n">
        <v>12.1</v>
      </c>
      <c r="G142" s="15" t="n">
        <v>11.2</v>
      </c>
      <c r="H142" s="16" t="n">
        <f aca="false">F142-G142</f>
        <v>0.9</v>
      </c>
      <c r="I142" s="11" t="n">
        <f aca="false">IFERROR(G142/C142,0)</f>
        <v>0.033313503866746</v>
      </c>
    </row>
    <row r="143" customFormat="false" ht="15" hidden="false" customHeight="false" outlineLevel="0" collapsed="false">
      <c r="A143" s="8" t="s">
        <v>76</v>
      </c>
      <c r="B143" s="8" t="s">
        <v>130</v>
      </c>
      <c r="C143" s="15" t="n">
        <v>2294.7</v>
      </c>
      <c r="D143" s="9" t="n">
        <v>995.87</v>
      </c>
      <c r="E143" s="10" t="n">
        <f aca="false">C143*D143</f>
        <v>2285222.889</v>
      </c>
      <c r="F143" s="15" t="n">
        <v>66</v>
      </c>
      <c r="G143" s="15" t="n">
        <v>26.6</v>
      </c>
      <c r="H143" s="16" t="n">
        <f aca="false">F143-G143</f>
        <v>39.4</v>
      </c>
      <c r="I143" s="11" t="n">
        <f aca="false">IFERROR(G143/C143,0)</f>
        <v>0.0115919292282216</v>
      </c>
    </row>
    <row r="144" customFormat="false" ht="15" hidden="false" customHeight="false" outlineLevel="0" collapsed="false">
      <c r="A144" s="8" t="s">
        <v>76</v>
      </c>
      <c r="B144" s="8" t="s">
        <v>131</v>
      </c>
      <c r="C144" s="15" t="n">
        <v>1154.4</v>
      </c>
      <c r="D144" s="9" t="n">
        <v>1459.35</v>
      </c>
      <c r="E144" s="10" t="n">
        <f aca="false">C144*D144</f>
        <v>1684673.64</v>
      </c>
      <c r="F144" s="15" t="n">
        <v>41.9</v>
      </c>
      <c r="G144" s="15" t="n">
        <v>28.4</v>
      </c>
      <c r="H144" s="16" t="n">
        <f aca="false">F144-G144</f>
        <v>13.5</v>
      </c>
      <c r="I144" s="11" t="n">
        <f aca="false">IFERROR(G144/C144,0)</f>
        <v>0.0246015246015246</v>
      </c>
    </row>
    <row r="145" customFormat="false" ht="15" hidden="false" customHeight="false" outlineLevel="0" collapsed="false">
      <c r="A145" s="8" t="s">
        <v>76</v>
      </c>
      <c r="B145" s="8" t="s">
        <v>132</v>
      </c>
      <c r="C145" s="15" t="n">
        <v>339.2</v>
      </c>
      <c r="D145" s="9" t="n">
        <v>2391.05</v>
      </c>
      <c r="E145" s="10" t="n">
        <f aca="false">C145*D145</f>
        <v>811044.16</v>
      </c>
      <c r="F145" s="15" t="n">
        <v>13.5</v>
      </c>
      <c r="G145" s="15" t="n">
        <v>10.6</v>
      </c>
      <c r="H145" s="16" t="n">
        <f aca="false">F145-G145</f>
        <v>2.9</v>
      </c>
      <c r="I145" s="11" t="n">
        <f aca="false">IFERROR(G145/C145,0)</f>
        <v>0.03125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10"/>
  </cols>
  <sheetData>
    <row r="1" customFormat="false" ht="26.85" hidden="false" customHeight="false" outlineLevel="0" collapsed="false">
      <c r="A1" s="7" t="s">
        <v>133</v>
      </c>
      <c r="B1" s="7" t="s">
        <v>134</v>
      </c>
      <c r="C1" s="7" t="s">
        <v>135</v>
      </c>
      <c r="D1" s="7" t="s">
        <v>136</v>
      </c>
      <c r="E1" s="7" t="s">
        <v>137</v>
      </c>
      <c r="F1" s="7" t="s">
        <v>138</v>
      </c>
      <c r="G1" s="7" t="s">
        <v>139</v>
      </c>
      <c r="H1" s="7" t="s">
        <v>140</v>
      </c>
    </row>
    <row r="2" customFormat="false" ht="41.75" hidden="false" customHeight="false" outlineLevel="0" collapsed="false">
      <c r="A2" s="8" t="s">
        <v>141</v>
      </c>
      <c r="B2" s="8" t="s">
        <v>142</v>
      </c>
      <c r="C2" s="17" t="s">
        <v>143</v>
      </c>
      <c r="D2" s="15" t="n">
        <v>1</v>
      </c>
      <c r="E2" s="8" t="s">
        <v>144</v>
      </c>
      <c r="F2" s="8" t="s">
        <v>145</v>
      </c>
      <c r="G2" s="8" t="s">
        <v>146</v>
      </c>
      <c r="H2" s="8" t="n">
        <v>1</v>
      </c>
    </row>
    <row r="3" customFormat="false" ht="28.35" hidden="false" customHeight="false" outlineLevel="0" collapsed="false">
      <c r="A3" s="8" t="s">
        <v>141</v>
      </c>
      <c r="B3" s="8" t="s">
        <v>147</v>
      </c>
      <c r="C3" s="17" t="s">
        <v>148</v>
      </c>
      <c r="D3" s="15" t="n">
        <v>1</v>
      </c>
      <c r="E3" s="8" t="s">
        <v>144</v>
      </c>
      <c r="F3" s="8" t="s">
        <v>145</v>
      </c>
      <c r="G3" s="8" t="s">
        <v>149</v>
      </c>
      <c r="H3" s="8" t="n">
        <v>1</v>
      </c>
    </row>
    <row r="4" customFormat="false" ht="28.35" hidden="false" customHeight="false" outlineLevel="0" collapsed="false">
      <c r="A4" s="8" t="s">
        <v>141</v>
      </c>
      <c r="B4" s="8" t="s">
        <v>150</v>
      </c>
      <c r="C4" s="17" t="s">
        <v>151</v>
      </c>
      <c r="D4" s="15" t="n">
        <v>0</v>
      </c>
      <c r="E4" s="8" t="s">
        <v>152</v>
      </c>
      <c r="F4" s="8" t="s">
        <v>153</v>
      </c>
      <c r="G4" s="8" t="s">
        <v>154</v>
      </c>
      <c r="H4" s="8" t="n">
        <v>1</v>
      </c>
    </row>
    <row r="5" customFormat="false" ht="28.35" hidden="false" customHeight="false" outlineLevel="0" collapsed="false">
      <c r="A5" s="8" t="s">
        <v>141</v>
      </c>
      <c r="B5" s="8" t="s">
        <v>155</v>
      </c>
      <c r="C5" s="17" t="s">
        <v>156</v>
      </c>
      <c r="D5" s="15" t="n">
        <v>1</v>
      </c>
      <c r="E5" s="8" t="s">
        <v>144</v>
      </c>
      <c r="F5" s="8" t="s">
        <v>153</v>
      </c>
      <c r="G5" s="8" t="s">
        <v>157</v>
      </c>
      <c r="H5" s="8" t="n">
        <v>0</v>
      </c>
    </row>
    <row r="6" customFormat="false" ht="28.35" hidden="false" customHeight="false" outlineLevel="0" collapsed="false">
      <c r="A6" s="8" t="s">
        <v>141</v>
      </c>
      <c r="B6" s="8" t="s">
        <v>158</v>
      </c>
      <c r="C6" s="17" t="s">
        <v>159</v>
      </c>
      <c r="D6" s="15" t="n">
        <v>0</v>
      </c>
      <c r="E6" s="8" t="s">
        <v>152</v>
      </c>
      <c r="F6" s="8" t="s">
        <v>160</v>
      </c>
      <c r="G6" s="8" t="s">
        <v>161</v>
      </c>
      <c r="H6" s="8" t="n">
        <v>3</v>
      </c>
    </row>
    <row r="7" customFormat="false" ht="28.35" hidden="false" customHeight="false" outlineLevel="0" collapsed="false">
      <c r="A7" s="8" t="s">
        <v>162</v>
      </c>
      <c r="B7" s="8" t="s">
        <v>142</v>
      </c>
      <c r="C7" s="17" t="s">
        <v>163</v>
      </c>
      <c r="D7" s="15" t="n">
        <v>1</v>
      </c>
      <c r="E7" s="8" t="s">
        <v>144</v>
      </c>
      <c r="F7" s="8" t="s">
        <v>153</v>
      </c>
      <c r="G7" s="8" t="s">
        <v>164</v>
      </c>
      <c r="H7" s="8" t="n">
        <v>1</v>
      </c>
    </row>
    <row r="8" customFormat="false" ht="28.35" hidden="false" customHeight="false" outlineLevel="0" collapsed="false">
      <c r="A8" s="8" t="s">
        <v>162</v>
      </c>
      <c r="B8" s="8" t="s">
        <v>147</v>
      </c>
      <c r="C8" s="17" t="s">
        <v>165</v>
      </c>
      <c r="D8" s="15" t="n">
        <v>1</v>
      </c>
      <c r="E8" s="8" t="s">
        <v>144</v>
      </c>
      <c r="F8" s="8" t="s">
        <v>153</v>
      </c>
      <c r="G8" s="8" t="s">
        <v>166</v>
      </c>
      <c r="H8" s="8" t="n">
        <v>0</v>
      </c>
    </row>
    <row r="9" customFormat="false" ht="28.35" hidden="false" customHeight="false" outlineLevel="0" collapsed="false">
      <c r="A9" s="8" t="s">
        <v>162</v>
      </c>
      <c r="B9" s="8" t="s">
        <v>150</v>
      </c>
      <c r="C9" s="17" t="s">
        <v>167</v>
      </c>
      <c r="D9" s="15" t="n">
        <v>1</v>
      </c>
      <c r="E9" s="8" t="s">
        <v>144</v>
      </c>
      <c r="F9" s="8" t="s">
        <v>145</v>
      </c>
      <c r="G9" s="8" t="s">
        <v>168</v>
      </c>
      <c r="H9" s="8" t="n">
        <v>2</v>
      </c>
    </row>
    <row r="10" customFormat="false" ht="28.35" hidden="false" customHeight="false" outlineLevel="0" collapsed="false">
      <c r="A10" s="8" t="s">
        <v>162</v>
      </c>
      <c r="B10" s="8" t="s">
        <v>155</v>
      </c>
      <c r="C10" s="17" t="s">
        <v>169</v>
      </c>
      <c r="D10" s="15" t="n">
        <v>1</v>
      </c>
      <c r="E10" s="8" t="s">
        <v>144</v>
      </c>
      <c r="F10" s="8" t="s">
        <v>145</v>
      </c>
      <c r="G10" s="8" t="s">
        <v>170</v>
      </c>
      <c r="H10" s="8" t="n">
        <v>4</v>
      </c>
    </row>
    <row r="11" customFormat="false" ht="41.75" hidden="false" customHeight="false" outlineLevel="0" collapsed="false">
      <c r="A11" s="8" t="s">
        <v>162</v>
      </c>
      <c r="B11" s="8" t="s">
        <v>158</v>
      </c>
      <c r="C11" s="17" t="s">
        <v>171</v>
      </c>
      <c r="D11" s="15" t="n">
        <v>1</v>
      </c>
      <c r="E11" s="8" t="s">
        <v>144</v>
      </c>
      <c r="F11" s="8" t="s">
        <v>145</v>
      </c>
      <c r="G11" s="8" t="s">
        <v>172</v>
      </c>
      <c r="H11" s="8" t="n">
        <v>3</v>
      </c>
    </row>
    <row r="12" customFormat="false" ht="28.35" hidden="false" customHeight="false" outlineLevel="0" collapsed="false">
      <c r="A12" s="8" t="s">
        <v>173</v>
      </c>
      <c r="B12" s="8" t="s">
        <v>142</v>
      </c>
      <c r="C12" s="17" t="s">
        <v>163</v>
      </c>
      <c r="D12" s="15" t="n">
        <v>1</v>
      </c>
      <c r="E12" s="8" t="s">
        <v>144</v>
      </c>
      <c r="F12" s="8" t="s">
        <v>153</v>
      </c>
      <c r="G12" s="8" t="s">
        <v>164</v>
      </c>
      <c r="H12" s="8" t="n">
        <v>1</v>
      </c>
    </row>
    <row r="13" customFormat="false" ht="28.35" hidden="false" customHeight="false" outlineLevel="0" collapsed="false">
      <c r="A13" s="8" t="s">
        <v>173</v>
      </c>
      <c r="B13" s="8" t="s">
        <v>147</v>
      </c>
      <c r="C13" s="17" t="s">
        <v>165</v>
      </c>
      <c r="D13" s="15" t="n">
        <v>1</v>
      </c>
      <c r="E13" s="8" t="s">
        <v>144</v>
      </c>
      <c r="F13" s="8" t="s">
        <v>153</v>
      </c>
      <c r="G13" s="8" t="s">
        <v>166</v>
      </c>
      <c r="H13" s="8" t="n">
        <v>0</v>
      </c>
    </row>
    <row r="14" customFormat="false" ht="28.35" hidden="false" customHeight="false" outlineLevel="0" collapsed="false">
      <c r="A14" s="8" t="s">
        <v>173</v>
      </c>
      <c r="B14" s="8" t="s">
        <v>150</v>
      </c>
      <c r="C14" s="17" t="s">
        <v>167</v>
      </c>
      <c r="D14" s="15" t="n">
        <v>1</v>
      </c>
      <c r="E14" s="8" t="s">
        <v>144</v>
      </c>
      <c r="F14" s="8" t="s">
        <v>145</v>
      </c>
      <c r="G14" s="8" t="s">
        <v>168</v>
      </c>
      <c r="H14" s="8" t="n">
        <v>2</v>
      </c>
    </row>
    <row r="15" customFormat="false" ht="28.35" hidden="false" customHeight="false" outlineLevel="0" collapsed="false">
      <c r="A15" s="8" t="s">
        <v>173</v>
      </c>
      <c r="B15" s="8" t="s">
        <v>155</v>
      </c>
      <c r="C15" s="17" t="s">
        <v>156</v>
      </c>
      <c r="D15" s="15" t="n">
        <v>1</v>
      </c>
      <c r="E15" s="8" t="s">
        <v>144</v>
      </c>
      <c r="F15" s="8" t="s">
        <v>153</v>
      </c>
      <c r="G15" s="8" t="s">
        <v>157</v>
      </c>
      <c r="H15" s="8" t="n">
        <v>0</v>
      </c>
    </row>
    <row r="16" customFormat="false" ht="28.35" hidden="false" customHeight="false" outlineLevel="0" collapsed="false">
      <c r="A16" s="8" t="s">
        <v>173</v>
      </c>
      <c r="B16" s="8" t="s">
        <v>158</v>
      </c>
      <c r="C16" s="17" t="s">
        <v>174</v>
      </c>
      <c r="D16" s="15" t="n">
        <v>0</v>
      </c>
      <c r="E16" s="8" t="s">
        <v>152</v>
      </c>
      <c r="F16" s="8" t="s">
        <v>153</v>
      </c>
      <c r="G16" s="8" t="s">
        <v>175</v>
      </c>
      <c r="H16" s="8" t="n">
        <v>1</v>
      </c>
    </row>
    <row r="17" customFormat="false" ht="41.75" hidden="false" customHeight="false" outlineLevel="0" collapsed="false">
      <c r="A17" s="8" t="s">
        <v>176</v>
      </c>
      <c r="B17" s="8" t="s">
        <v>142</v>
      </c>
      <c r="C17" s="17" t="s">
        <v>177</v>
      </c>
      <c r="D17" s="15" t="n">
        <v>1</v>
      </c>
      <c r="E17" s="8" t="s">
        <v>144</v>
      </c>
      <c r="F17" s="8" t="s">
        <v>145</v>
      </c>
      <c r="G17" s="8" t="s">
        <v>178</v>
      </c>
      <c r="H17" s="8" t="n">
        <v>1</v>
      </c>
    </row>
    <row r="18" customFormat="false" ht="28.35" hidden="false" customHeight="false" outlineLevel="0" collapsed="false">
      <c r="A18" s="8" t="s">
        <v>176</v>
      </c>
      <c r="B18" s="8" t="s">
        <v>147</v>
      </c>
      <c r="C18" s="17" t="s">
        <v>148</v>
      </c>
      <c r="D18" s="15" t="n">
        <v>1</v>
      </c>
      <c r="E18" s="8" t="s">
        <v>144</v>
      </c>
      <c r="F18" s="8" t="s">
        <v>145</v>
      </c>
      <c r="G18" s="8" t="s">
        <v>149</v>
      </c>
      <c r="H18" s="8" t="n">
        <v>1</v>
      </c>
    </row>
    <row r="19" customFormat="false" ht="28.35" hidden="false" customHeight="false" outlineLevel="0" collapsed="false">
      <c r="A19" s="8" t="s">
        <v>176</v>
      </c>
      <c r="B19" s="8" t="s">
        <v>150</v>
      </c>
      <c r="C19" s="17" t="s">
        <v>179</v>
      </c>
      <c r="D19" s="15" t="n">
        <v>0</v>
      </c>
      <c r="E19" s="8" t="s">
        <v>152</v>
      </c>
      <c r="F19" s="8" t="s">
        <v>160</v>
      </c>
      <c r="G19" s="8" t="s">
        <v>180</v>
      </c>
      <c r="H19" s="8" t="n">
        <v>3</v>
      </c>
    </row>
    <row r="20" customFormat="false" ht="28.35" hidden="false" customHeight="false" outlineLevel="0" collapsed="false">
      <c r="A20" s="8" t="s">
        <v>176</v>
      </c>
      <c r="B20" s="8" t="s">
        <v>155</v>
      </c>
      <c r="C20" s="17" t="s">
        <v>156</v>
      </c>
      <c r="D20" s="15" t="n">
        <v>1</v>
      </c>
      <c r="E20" s="8" t="s">
        <v>144</v>
      </c>
      <c r="F20" s="8" t="s">
        <v>153</v>
      </c>
      <c r="G20" s="8" t="s">
        <v>157</v>
      </c>
      <c r="H20" s="8" t="n">
        <v>0</v>
      </c>
    </row>
    <row r="21" customFormat="false" ht="28.35" hidden="false" customHeight="false" outlineLevel="0" collapsed="false">
      <c r="A21" s="8" t="s">
        <v>176</v>
      </c>
      <c r="B21" s="8" t="s">
        <v>158</v>
      </c>
      <c r="C21" s="17" t="s">
        <v>159</v>
      </c>
      <c r="D21" s="15" t="n">
        <v>0</v>
      </c>
      <c r="E21" s="8" t="s">
        <v>152</v>
      </c>
      <c r="F21" s="8" t="s">
        <v>160</v>
      </c>
      <c r="G21" s="8" t="s">
        <v>161</v>
      </c>
      <c r="H21" s="8" t="n">
        <v>3</v>
      </c>
    </row>
    <row r="22" customFormat="false" ht="41.75" hidden="false" customHeight="false" outlineLevel="0" collapsed="false">
      <c r="A22" s="8" t="s">
        <v>181</v>
      </c>
      <c r="B22" s="8" t="s">
        <v>142</v>
      </c>
      <c r="C22" s="17" t="s">
        <v>177</v>
      </c>
      <c r="D22" s="15" t="n">
        <v>1</v>
      </c>
      <c r="E22" s="8" t="s">
        <v>144</v>
      </c>
      <c r="F22" s="8" t="s">
        <v>145</v>
      </c>
      <c r="G22" s="8" t="s">
        <v>178</v>
      </c>
      <c r="H22" s="8" t="n">
        <v>1</v>
      </c>
    </row>
    <row r="23" customFormat="false" ht="28.35" hidden="false" customHeight="false" outlineLevel="0" collapsed="false">
      <c r="A23" s="8" t="s">
        <v>181</v>
      </c>
      <c r="B23" s="8" t="s">
        <v>147</v>
      </c>
      <c r="C23" s="17" t="s">
        <v>182</v>
      </c>
      <c r="D23" s="15" t="n">
        <v>-1</v>
      </c>
      <c r="E23" s="8" t="s">
        <v>183</v>
      </c>
      <c r="F23" s="8" t="s">
        <v>160</v>
      </c>
      <c r="G23" s="8" t="s">
        <v>184</v>
      </c>
      <c r="H23" s="8" t="n">
        <v>1</v>
      </c>
    </row>
    <row r="24" customFormat="false" ht="28.35" hidden="false" customHeight="false" outlineLevel="0" collapsed="false">
      <c r="A24" s="8" t="s">
        <v>181</v>
      </c>
      <c r="B24" s="8" t="s">
        <v>150</v>
      </c>
      <c r="C24" s="17" t="s">
        <v>167</v>
      </c>
      <c r="D24" s="15" t="n">
        <v>1</v>
      </c>
      <c r="E24" s="8" t="s">
        <v>144</v>
      </c>
      <c r="F24" s="8" t="s">
        <v>145</v>
      </c>
      <c r="G24" s="8" t="s">
        <v>168</v>
      </c>
      <c r="H24" s="8" t="n">
        <v>2</v>
      </c>
    </row>
    <row r="25" customFormat="false" ht="41.75" hidden="false" customHeight="false" outlineLevel="0" collapsed="false">
      <c r="A25" s="8" t="s">
        <v>181</v>
      </c>
      <c r="B25" s="8" t="s">
        <v>155</v>
      </c>
      <c r="C25" s="17" t="s">
        <v>185</v>
      </c>
      <c r="D25" s="15" t="n">
        <v>1</v>
      </c>
      <c r="E25" s="8" t="s">
        <v>144</v>
      </c>
      <c r="F25" s="8" t="s">
        <v>145</v>
      </c>
      <c r="G25" s="8" t="s">
        <v>186</v>
      </c>
      <c r="H25" s="8" t="n">
        <v>1</v>
      </c>
    </row>
    <row r="26" customFormat="false" ht="28.35" hidden="false" customHeight="false" outlineLevel="0" collapsed="false">
      <c r="A26" s="8" t="s">
        <v>181</v>
      </c>
      <c r="B26" s="8" t="s">
        <v>158</v>
      </c>
      <c r="C26" s="17" t="s">
        <v>159</v>
      </c>
      <c r="D26" s="15" t="n">
        <v>0</v>
      </c>
      <c r="E26" s="8" t="s">
        <v>152</v>
      </c>
      <c r="F26" s="8" t="s">
        <v>160</v>
      </c>
      <c r="G26" s="8" t="s">
        <v>161</v>
      </c>
      <c r="H26" s="8" t="n">
        <v>3</v>
      </c>
    </row>
    <row r="27" customFormat="false" ht="41.75" hidden="false" customHeight="false" outlineLevel="0" collapsed="false">
      <c r="A27" s="8" t="s">
        <v>187</v>
      </c>
      <c r="B27" s="8" t="s">
        <v>142</v>
      </c>
      <c r="C27" s="17" t="s">
        <v>143</v>
      </c>
      <c r="D27" s="15" t="n">
        <v>1</v>
      </c>
      <c r="E27" s="8" t="s">
        <v>144</v>
      </c>
      <c r="F27" s="8" t="s">
        <v>145</v>
      </c>
      <c r="G27" s="8" t="s">
        <v>146</v>
      </c>
      <c r="H27" s="8" t="n">
        <v>1</v>
      </c>
    </row>
    <row r="28" customFormat="false" ht="28.35" hidden="false" customHeight="false" outlineLevel="0" collapsed="false">
      <c r="A28" s="8" t="s">
        <v>187</v>
      </c>
      <c r="B28" s="8" t="s">
        <v>147</v>
      </c>
      <c r="C28" s="17" t="s">
        <v>165</v>
      </c>
      <c r="D28" s="15" t="n">
        <v>1</v>
      </c>
      <c r="E28" s="8" t="s">
        <v>144</v>
      </c>
      <c r="F28" s="8" t="s">
        <v>153</v>
      </c>
      <c r="G28" s="8" t="s">
        <v>166</v>
      </c>
      <c r="H28" s="8" t="n">
        <v>0</v>
      </c>
    </row>
    <row r="29" customFormat="false" ht="28.35" hidden="false" customHeight="false" outlineLevel="0" collapsed="false">
      <c r="A29" s="8" t="s">
        <v>187</v>
      </c>
      <c r="B29" s="8" t="s">
        <v>150</v>
      </c>
      <c r="C29" s="17" t="s">
        <v>167</v>
      </c>
      <c r="D29" s="15" t="n">
        <v>1</v>
      </c>
      <c r="E29" s="8" t="s">
        <v>144</v>
      </c>
      <c r="F29" s="8" t="s">
        <v>145</v>
      </c>
      <c r="G29" s="8" t="s">
        <v>168</v>
      </c>
      <c r="H29" s="8" t="n">
        <v>2</v>
      </c>
    </row>
    <row r="30" customFormat="false" ht="28.35" hidden="false" customHeight="false" outlineLevel="0" collapsed="false">
      <c r="A30" s="8" t="s">
        <v>187</v>
      </c>
      <c r="B30" s="8" t="s">
        <v>155</v>
      </c>
      <c r="C30" s="17" t="s">
        <v>156</v>
      </c>
      <c r="D30" s="15" t="n">
        <v>1</v>
      </c>
      <c r="E30" s="8" t="s">
        <v>144</v>
      </c>
      <c r="F30" s="8" t="s">
        <v>153</v>
      </c>
      <c r="G30" s="8" t="s">
        <v>157</v>
      </c>
      <c r="H30" s="8" t="n">
        <v>0</v>
      </c>
    </row>
    <row r="31" customFormat="false" ht="28.35" hidden="false" customHeight="false" outlineLevel="0" collapsed="false">
      <c r="A31" s="8" t="s">
        <v>187</v>
      </c>
      <c r="B31" s="8" t="s">
        <v>158</v>
      </c>
      <c r="C31" s="17" t="s">
        <v>159</v>
      </c>
      <c r="D31" s="15" t="n">
        <v>0</v>
      </c>
      <c r="E31" s="8" t="s">
        <v>152</v>
      </c>
      <c r="F31" s="8" t="s">
        <v>160</v>
      </c>
      <c r="G31" s="8" t="s">
        <v>161</v>
      </c>
      <c r="H31" s="8" t="n">
        <v>3</v>
      </c>
    </row>
    <row r="32" customFormat="false" ht="41.75" hidden="false" customHeight="false" outlineLevel="0" collapsed="false">
      <c r="A32" s="8" t="s">
        <v>188</v>
      </c>
      <c r="B32" s="8" t="s">
        <v>142</v>
      </c>
      <c r="C32" s="17" t="s">
        <v>177</v>
      </c>
      <c r="D32" s="15" t="n">
        <v>1</v>
      </c>
      <c r="E32" s="8" t="s">
        <v>144</v>
      </c>
      <c r="F32" s="8" t="s">
        <v>145</v>
      </c>
      <c r="G32" s="8" t="s">
        <v>178</v>
      </c>
      <c r="H32" s="8" t="n">
        <v>1</v>
      </c>
    </row>
    <row r="33" customFormat="false" ht="28.35" hidden="false" customHeight="false" outlineLevel="0" collapsed="false">
      <c r="A33" s="8" t="s">
        <v>188</v>
      </c>
      <c r="B33" s="8" t="s">
        <v>147</v>
      </c>
      <c r="C33" s="17" t="s">
        <v>189</v>
      </c>
      <c r="D33" s="15" t="n">
        <v>0</v>
      </c>
      <c r="E33" s="8" t="s">
        <v>152</v>
      </c>
      <c r="F33" s="8" t="s">
        <v>153</v>
      </c>
      <c r="G33" s="8" t="s">
        <v>190</v>
      </c>
      <c r="H33" s="8" t="n">
        <v>1</v>
      </c>
    </row>
    <row r="34" customFormat="false" ht="28.35" hidden="false" customHeight="false" outlineLevel="0" collapsed="false">
      <c r="A34" s="8" t="s">
        <v>188</v>
      </c>
      <c r="B34" s="8" t="s">
        <v>150</v>
      </c>
      <c r="C34" s="17" t="s">
        <v>167</v>
      </c>
      <c r="D34" s="15" t="n">
        <v>1</v>
      </c>
      <c r="E34" s="8" t="s">
        <v>144</v>
      </c>
      <c r="F34" s="8" t="s">
        <v>145</v>
      </c>
      <c r="G34" s="8" t="s">
        <v>168</v>
      </c>
      <c r="H34" s="8" t="n">
        <v>2</v>
      </c>
    </row>
    <row r="35" customFormat="false" ht="28.35" hidden="false" customHeight="false" outlineLevel="0" collapsed="false">
      <c r="A35" s="8" t="s">
        <v>188</v>
      </c>
      <c r="B35" s="8" t="s">
        <v>155</v>
      </c>
      <c r="C35" s="17" t="s">
        <v>156</v>
      </c>
      <c r="D35" s="15" t="n">
        <v>1</v>
      </c>
      <c r="E35" s="8" t="s">
        <v>144</v>
      </c>
      <c r="F35" s="8" t="s">
        <v>153</v>
      </c>
      <c r="G35" s="8" t="s">
        <v>157</v>
      </c>
      <c r="H35" s="8" t="n">
        <v>0</v>
      </c>
    </row>
    <row r="36" customFormat="false" ht="41.75" hidden="false" customHeight="false" outlineLevel="0" collapsed="false">
      <c r="A36" s="8" t="s">
        <v>188</v>
      </c>
      <c r="B36" s="8" t="s">
        <v>158</v>
      </c>
      <c r="C36" s="17" t="s">
        <v>171</v>
      </c>
      <c r="D36" s="15" t="n">
        <v>1</v>
      </c>
      <c r="E36" s="8" t="s">
        <v>144</v>
      </c>
      <c r="F36" s="8" t="s">
        <v>145</v>
      </c>
      <c r="G36" s="8" t="s">
        <v>172</v>
      </c>
      <c r="H36" s="8" t="n">
        <v>3</v>
      </c>
    </row>
    <row r="37" customFormat="false" ht="41.75" hidden="false" customHeight="false" outlineLevel="0" collapsed="false">
      <c r="A37" s="8" t="s">
        <v>191</v>
      </c>
      <c r="B37" s="8" t="s">
        <v>142</v>
      </c>
      <c r="C37" s="17" t="s">
        <v>143</v>
      </c>
      <c r="D37" s="15" t="n">
        <v>1</v>
      </c>
      <c r="E37" s="8" t="s">
        <v>144</v>
      </c>
      <c r="F37" s="8" t="s">
        <v>145</v>
      </c>
      <c r="G37" s="8" t="s">
        <v>146</v>
      </c>
      <c r="H37" s="8" t="n">
        <v>1</v>
      </c>
    </row>
    <row r="38" customFormat="false" ht="28.35" hidden="false" customHeight="false" outlineLevel="0" collapsed="false">
      <c r="A38" s="8" t="s">
        <v>191</v>
      </c>
      <c r="B38" s="8" t="s">
        <v>147</v>
      </c>
      <c r="C38" s="17" t="s">
        <v>148</v>
      </c>
      <c r="D38" s="15" t="n">
        <v>1</v>
      </c>
      <c r="E38" s="8" t="s">
        <v>144</v>
      </c>
      <c r="F38" s="8" t="s">
        <v>145</v>
      </c>
      <c r="G38" s="8" t="s">
        <v>149</v>
      </c>
      <c r="H38" s="8" t="n">
        <v>1</v>
      </c>
    </row>
    <row r="39" customFormat="false" ht="28.35" hidden="false" customHeight="false" outlineLevel="0" collapsed="false">
      <c r="A39" s="8" t="s">
        <v>191</v>
      </c>
      <c r="B39" s="8" t="s">
        <v>150</v>
      </c>
      <c r="C39" s="17" t="s">
        <v>167</v>
      </c>
      <c r="D39" s="15" t="n">
        <v>1</v>
      </c>
      <c r="E39" s="8" t="s">
        <v>144</v>
      </c>
      <c r="F39" s="8" t="s">
        <v>145</v>
      </c>
      <c r="G39" s="8" t="s">
        <v>168</v>
      </c>
      <c r="H39" s="8" t="n">
        <v>2</v>
      </c>
    </row>
    <row r="40" customFormat="false" ht="28.35" hidden="false" customHeight="false" outlineLevel="0" collapsed="false">
      <c r="A40" s="8" t="s">
        <v>191</v>
      </c>
      <c r="B40" s="8" t="s">
        <v>155</v>
      </c>
      <c r="C40" s="17" t="s">
        <v>192</v>
      </c>
      <c r="D40" s="15" t="n">
        <v>-1</v>
      </c>
      <c r="E40" s="8" t="s">
        <v>183</v>
      </c>
      <c r="F40" s="8" t="s">
        <v>160</v>
      </c>
      <c r="G40" s="8" t="s">
        <v>193</v>
      </c>
      <c r="H40" s="8" t="n">
        <v>1</v>
      </c>
    </row>
    <row r="41" customFormat="false" ht="41.75" hidden="false" customHeight="false" outlineLevel="0" collapsed="false">
      <c r="A41" s="8" t="s">
        <v>191</v>
      </c>
      <c r="B41" s="8" t="s">
        <v>158</v>
      </c>
      <c r="C41" s="17" t="s">
        <v>171</v>
      </c>
      <c r="D41" s="15" t="n">
        <v>1</v>
      </c>
      <c r="E41" s="8" t="s">
        <v>144</v>
      </c>
      <c r="F41" s="8" t="s">
        <v>145</v>
      </c>
      <c r="G41" s="8" t="s">
        <v>172</v>
      </c>
      <c r="H41" s="8" t="n">
        <v>3</v>
      </c>
    </row>
    <row r="42" customFormat="false" ht="41.75" hidden="false" customHeight="false" outlineLevel="0" collapsed="false">
      <c r="A42" s="8" t="s">
        <v>194</v>
      </c>
      <c r="B42" s="8" t="s">
        <v>142</v>
      </c>
      <c r="C42" s="17" t="s">
        <v>143</v>
      </c>
      <c r="D42" s="15" t="n">
        <v>1</v>
      </c>
      <c r="E42" s="8" t="s">
        <v>144</v>
      </c>
      <c r="F42" s="8" t="s">
        <v>145</v>
      </c>
      <c r="G42" s="8" t="s">
        <v>146</v>
      </c>
      <c r="H42" s="8" t="n">
        <v>1</v>
      </c>
    </row>
    <row r="43" customFormat="false" ht="28.35" hidden="false" customHeight="false" outlineLevel="0" collapsed="false">
      <c r="A43" s="8" t="s">
        <v>194</v>
      </c>
      <c r="B43" s="8" t="s">
        <v>147</v>
      </c>
      <c r="C43" s="17" t="s">
        <v>148</v>
      </c>
      <c r="D43" s="15" t="n">
        <v>1</v>
      </c>
      <c r="E43" s="8" t="s">
        <v>144</v>
      </c>
      <c r="F43" s="8" t="s">
        <v>145</v>
      </c>
      <c r="G43" s="8" t="s">
        <v>149</v>
      </c>
      <c r="H43" s="8" t="n">
        <v>1</v>
      </c>
    </row>
    <row r="44" customFormat="false" ht="28.35" hidden="false" customHeight="false" outlineLevel="0" collapsed="false">
      <c r="A44" s="8" t="s">
        <v>194</v>
      </c>
      <c r="B44" s="8" t="s">
        <v>150</v>
      </c>
      <c r="C44" s="17" t="s">
        <v>167</v>
      </c>
      <c r="D44" s="15" t="n">
        <v>1</v>
      </c>
      <c r="E44" s="8" t="s">
        <v>144</v>
      </c>
      <c r="F44" s="8" t="s">
        <v>145</v>
      </c>
      <c r="G44" s="8" t="s">
        <v>168</v>
      </c>
      <c r="H44" s="8" t="n">
        <v>2</v>
      </c>
    </row>
    <row r="45" customFormat="false" ht="28.35" hidden="false" customHeight="false" outlineLevel="0" collapsed="false">
      <c r="A45" s="8" t="s">
        <v>194</v>
      </c>
      <c r="B45" s="8" t="s">
        <v>155</v>
      </c>
      <c r="C45" s="17" t="s">
        <v>156</v>
      </c>
      <c r="D45" s="15" t="n">
        <v>1</v>
      </c>
      <c r="E45" s="8" t="s">
        <v>144</v>
      </c>
      <c r="F45" s="8" t="s">
        <v>153</v>
      </c>
      <c r="G45" s="8" t="s">
        <v>157</v>
      </c>
      <c r="H45" s="8" t="n">
        <v>0</v>
      </c>
    </row>
    <row r="46" customFormat="false" ht="28.35" hidden="false" customHeight="false" outlineLevel="0" collapsed="false">
      <c r="A46" s="8" t="s">
        <v>194</v>
      </c>
      <c r="B46" s="8" t="s">
        <v>158</v>
      </c>
      <c r="C46" s="17" t="s">
        <v>159</v>
      </c>
      <c r="D46" s="15" t="n">
        <v>0</v>
      </c>
      <c r="E46" s="8" t="s">
        <v>152</v>
      </c>
      <c r="F46" s="8" t="s">
        <v>160</v>
      </c>
      <c r="G46" s="8" t="s">
        <v>161</v>
      </c>
      <c r="H46" s="8" t="n">
        <v>3</v>
      </c>
    </row>
    <row r="47" customFormat="false" ht="41.75" hidden="false" customHeight="false" outlineLevel="0" collapsed="false">
      <c r="A47" s="8" t="s">
        <v>195</v>
      </c>
      <c r="B47" s="8" t="s">
        <v>142</v>
      </c>
      <c r="C47" s="17" t="s">
        <v>143</v>
      </c>
      <c r="D47" s="15" t="n">
        <v>1</v>
      </c>
      <c r="E47" s="8" t="s">
        <v>144</v>
      </c>
      <c r="F47" s="8" t="s">
        <v>145</v>
      </c>
      <c r="G47" s="8" t="s">
        <v>146</v>
      </c>
      <c r="H47" s="8" t="n">
        <v>1</v>
      </c>
    </row>
    <row r="48" customFormat="false" ht="28.35" hidden="false" customHeight="false" outlineLevel="0" collapsed="false">
      <c r="A48" s="8" t="s">
        <v>195</v>
      </c>
      <c r="B48" s="8" t="s">
        <v>147</v>
      </c>
      <c r="C48" s="17" t="s">
        <v>182</v>
      </c>
      <c r="D48" s="15" t="n">
        <v>-1</v>
      </c>
      <c r="E48" s="8" t="s">
        <v>183</v>
      </c>
      <c r="F48" s="8" t="s">
        <v>160</v>
      </c>
      <c r="G48" s="8" t="s">
        <v>184</v>
      </c>
      <c r="H48" s="8" t="n">
        <v>1</v>
      </c>
    </row>
    <row r="49" customFormat="false" ht="28.35" hidden="false" customHeight="false" outlineLevel="0" collapsed="false">
      <c r="A49" s="8" t="s">
        <v>195</v>
      </c>
      <c r="B49" s="8" t="s">
        <v>150</v>
      </c>
      <c r="C49" s="17" t="s">
        <v>151</v>
      </c>
      <c r="D49" s="15" t="n">
        <v>0</v>
      </c>
      <c r="E49" s="8" t="s">
        <v>152</v>
      </c>
      <c r="F49" s="8" t="s">
        <v>153</v>
      </c>
      <c r="G49" s="8" t="s">
        <v>154</v>
      </c>
      <c r="H49" s="8" t="n">
        <v>1</v>
      </c>
    </row>
    <row r="50" customFormat="false" ht="28.35" hidden="false" customHeight="false" outlineLevel="0" collapsed="false">
      <c r="A50" s="8" t="s">
        <v>195</v>
      </c>
      <c r="B50" s="8" t="s">
        <v>155</v>
      </c>
      <c r="C50" s="17" t="s">
        <v>169</v>
      </c>
      <c r="D50" s="15" t="n">
        <v>1</v>
      </c>
      <c r="E50" s="8" t="s">
        <v>144</v>
      </c>
      <c r="F50" s="8" t="s">
        <v>145</v>
      </c>
      <c r="G50" s="8" t="s">
        <v>170</v>
      </c>
      <c r="H50" s="8" t="n">
        <v>4</v>
      </c>
    </row>
    <row r="51" customFormat="false" ht="28.35" hidden="false" customHeight="false" outlineLevel="0" collapsed="false">
      <c r="A51" s="8" t="s">
        <v>195</v>
      </c>
      <c r="B51" s="8" t="s">
        <v>158</v>
      </c>
      <c r="C51" s="17" t="s">
        <v>174</v>
      </c>
      <c r="D51" s="15" t="n">
        <v>0</v>
      </c>
      <c r="E51" s="8" t="s">
        <v>152</v>
      </c>
      <c r="F51" s="8" t="s">
        <v>153</v>
      </c>
      <c r="G51" s="8" t="s">
        <v>175</v>
      </c>
      <c r="H51" s="8" t="n">
        <v>1</v>
      </c>
    </row>
    <row r="52" customFormat="false" ht="28.35" hidden="false" customHeight="false" outlineLevel="0" collapsed="false">
      <c r="A52" s="8" t="s">
        <v>196</v>
      </c>
      <c r="B52" s="8" t="s">
        <v>142</v>
      </c>
      <c r="C52" s="17" t="s">
        <v>197</v>
      </c>
      <c r="D52" s="15" t="n">
        <v>0</v>
      </c>
      <c r="E52" s="8" t="s">
        <v>152</v>
      </c>
      <c r="F52" s="8" t="s">
        <v>153</v>
      </c>
      <c r="G52" s="8" t="s">
        <v>198</v>
      </c>
      <c r="H52" s="8" t="n">
        <v>1</v>
      </c>
    </row>
    <row r="53" customFormat="false" ht="28.35" hidden="false" customHeight="false" outlineLevel="0" collapsed="false">
      <c r="A53" s="8" t="s">
        <v>196</v>
      </c>
      <c r="B53" s="8" t="s">
        <v>147</v>
      </c>
      <c r="C53" s="17" t="s">
        <v>165</v>
      </c>
      <c r="D53" s="15" t="n">
        <v>1</v>
      </c>
      <c r="E53" s="8" t="s">
        <v>144</v>
      </c>
      <c r="F53" s="8" t="s">
        <v>153</v>
      </c>
      <c r="G53" s="8" t="s">
        <v>166</v>
      </c>
      <c r="H53" s="8" t="n">
        <v>0</v>
      </c>
    </row>
    <row r="54" customFormat="false" ht="28.35" hidden="false" customHeight="false" outlineLevel="0" collapsed="false">
      <c r="A54" s="8" t="s">
        <v>196</v>
      </c>
      <c r="B54" s="8" t="s">
        <v>150</v>
      </c>
      <c r="C54" s="17" t="s">
        <v>179</v>
      </c>
      <c r="D54" s="15" t="n">
        <v>0</v>
      </c>
      <c r="E54" s="8" t="s">
        <v>152</v>
      </c>
      <c r="F54" s="8" t="s">
        <v>160</v>
      </c>
      <c r="G54" s="8" t="s">
        <v>180</v>
      </c>
      <c r="H54" s="8" t="n">
        <v>3</v>
      </c>
    </row>
    <row r="55" customFormat="false" ht="28.35" hidden="false" customHeight="false" outlineLevel="0" collapsed="false">
      <c r="A55" s="8" t="s">
        <v>196</v>
      </c>
      <c r="B55" s="8" t="s">
        <v>155</v>
      </c>
      <c r="C55" s="17" t="s">
        <v>169</v>
      </c>
      <c r="D55" s="15" t="n">
        <v>1</v>
      </c>
      <c r="E55" s="8" t="s">
        <v>144</v>
      </c>
      <c r="F55" s="8" t="s">
        <v>145</v>
      </c>
      <c r="G55" s="8" t="s">
        <v>170</v>
      </c>
      <c r="H55" s="8" t="n">
        <v>4</v>
      </c>
    </row>
    <row r="56" customFormat="false" ht="28.35" hidden="false" customHeight="false" outlineLevel="0" collapsed="false">
      <c r="A56" s="8" t="s">
        <v>196</v>
      </c>
      <c r="B56" s="8" t="s">
        <v>158</v>
      </c>
      <c r="C56" s="17" t="s">
        <v>159</v>
      </c>
      <c r="D56" s="15" t="n">
        <v>0</v>
      </c>
      <c r="E56" s="8" t="s">
        <v>152</v>
      </c>
      <c r="F56" s="8" t="s">
        <v>160</v>
      </c>
      <c r="G56" s="8" t="s">
        <v>161</v>
      </c>
      <c r="H56" s="8" t="n">
        <v>3</v>
      </c>
    </row>
    <row r="57" customFormat="false" ht="28.35" hidden="false" customHeight="false" outlineLevel="0" collapsed="false">
      <c r="A57" s="8" t="s">
        <v>199</v>
      </c>
      <c r="B57" s="8" t="s">
        <v>142</v>
      </c>
      <c r="C57" s="17" t="s">
        <v>200</v>
      </c>
      <c r="D57" s="15" t="n">
        <v>1</v>
      </c>
      <c r="E57" s="8" t="s">
        <v>144</v>
      </c>
      <c r="F57" s="8" t="s">
        <v>160</v>
      </c>
      <c r="G57" s="8" t="s">
        <v>201</v>
      </c>
      <c r="H57" s="8" t="n">
        <v>1</v>
      </c>
    </row>
    <row r="58" customFormat="false" ht="28.35" hidden="false" customHeight="false" outlineLevel="0" collapsed="false">
      <c r="A58" s="8" t="s">
        <v>199</v>
      </c>
      <c r="B58" s="8" t="s">
        <v>147</v>
      </c>
      <c r="C58" s="17" t="s">
        <v>189</v>
      </c>
      <c r="D58" s="15" t="n">
        <v>0</v>
      </c>
      <c r="E58" s="8" t="s">
        <v>152</v>
      </c>
      <c r="F58" s="8" t="s">
        <v>153</v>
      </c>
      <c r="G58" s="8" t="s">
        <v>190</v>
      </c>
      <c r="H58" s="8" t="n">
        <v>1</v>
      </c>
    </row>
    <row r="59" customFormat="false" ht="28.35" hidden="false" customHeight="false" outlineLevel="0" collapsed="false">
      <c r="A59" s="8" t="s">
        <v>199</v>
      </c>
      <c r="B59" s="8" t="s">
        <v>150</v>
      </c>
      <c r="C59" s="17" t="s">
        <v>151</v>
      </c>
      <c r="D59" s="15" t="n">
        <v>0</v>
      </c>
      <c r="E59" s="8" t="s">
        <v>152</v>
      </c>
      <c r="F59" s="8" t="s">
        <v>153</v>
      </c>
      <c r="G59" s="8" t="s">
        <v>154</v>
      </c>
      <c r="H59" s="8" t="n">
        <v>1</v>
      </c>
    </row>
    <row r="60" customFormat="false" ht="28.35" hidden="false" customHeight="false" outlineLevel="0" collapsed="false">
      <c r="A60" s="8" t="s">
        <v>199</v>
      </c>
      <c r="B60" s="8" t="s">
        <v>155</v>
      </c>
      <c r="C60" s="17" t="s">
        <v>169</v>
      </c>
      <c r="D60" s="15" t="n">
        <v>1</v>
      </c>
      <c r="E60" s="8" t="s">
        <v>144</v>
      </c>
      <c r="F60" s="8" t="s">
        <v>145</v>
      </c>
      <c r="G60" s="8" t="s">
        <v>170</v>
      </c>
      <c r="H60" s="8" t="n">
        <v>4</v>
      </c>
    </row>
    <row r="61" customFormat="false" ht="28.35" hidden="false" customHeight="false" outlineLevel="0" collapsed="false">
      <c r="A61" s="8" t="s">
        <v>199</v>
      </c>
      <c r="B61" s="8" t="s">
        <v>158</v>
      </c>
      <c r="C61" s="17" t="s">
        <v>159</v>
      </c>
      <c r="D61" s="15" t="n">
        <v>0</v>
      </c>
      <c r="E61" s="8" t="s">
        <v>152</v>
      </c>
      <c r="F61" s="8" t="s">
        <v>160</v>
      </c>
      <c r="G61" s="8" t="s">
        <v>161</v>
      </c>
      <c r="H61" s="8" t="n">
        <v>3</v>
      </c>
    </row>
    <row r="62" customFormat="false" ht="28.35" hidden="false" customHeight="false" outlineLevel="0" collapsed="false">
      <c r="A62" s="8" t="s">
        <v>202</v>
      </c>
      <c r="B62" s="8" t="s">
        <v>142</v>
      </c>
      <c r="C62" s="17" t="s">
        <v>163</v>
      </c>
      <c r="D62" s="15" t="n">
        <v>1</v>
      </c>
      <c r="E62" s="8" t="s">
        <v>144</v>
      </c>
      <c r="F62" s="8" t="s">
        <v>153</v>
      </c>
      <c r="G62" s="8" t="s">
        <v>164</v>
      </c>
      <c r="H62" s="8" t="n">
        <v>1</v>
      </c>
    </row>
    <row r="63" customFormat="false" ht="41.75" hidden="false" customHeight="false" outlineLevel="0" collapsed="false">
      <c r="A63" s="8" t="s">
        <v>202</v>
      </c>
      <c r="B63" s="8" t="s">
        <v>147</v>
      </c>
      <c r="C63" s="17" t="s">
        <v>203</v>
      </c>
      <c r="D63" s="15" t="n">
        <v>1</v>
      </c>
      <c r="E63" s="8" t="s">
        <v>144</v>
      </c>
      <c r="F63" s="8" t="s">
        <v>145</v>
      </c>
      <c r="G63" s="8" t="s">
        <v>204</v>
      </c>
      <c r="H63" s="8" t="n">
        <v>1</v>
      </c>
    </row>
    <row r="64" customFormat="false" ht="28.35" hidden="false" customHeight="false" outlineLevel="0" collapsed="false">
      <c r="A64" s="8" t="s">
        <v>202</v>
      </c>
      <c r="B64" s="8" t="s">
        <v>150</v>
      </c>
      <c r="C64" s="17" t="s">
        <v>167</v>
      </c>
      <c r="D64" s="15" t="n">
        <v>1</v>
      </c>
      <c r="E64" s="8" t="s">
        <v>144</v>
      </c>
      <c r="F64" s="8" t="s">
        <v>145</v>
      </c>
      <c r="G64" s="8" t="s">
        <v>168</v>
      </c>
      <c r="H64" s="8" t="n">
        <v>2</v>
      </c>
    </row>
    <row r="65" customFormat="false" ht="28.35" hidden="false" customHeight="false" outlineLevel="0" collapsed="false">
      <c r="A65" s="8" t="s">
        <v>202</v>
      </c>
      <c r="B65" s="8" t="s">
        <v>155</v>
      </c>
      <c r="C65" s="17" t="s">
        <v>156</v>
      </c>
      <c r="D65" s="15" t="n">
        <v>1</v>
      </c>
      <c r="E65" s="8" t="s">
        <v>144</v>
      </c>
      <c r="F65" s="8" t="s">
        <v>153</v>
      </c>
      <c r="G65" s="8" t="s">
        <v>157</v>
      </c>
      <c r="H65" s="8" t="n">
        <v>0</v>
      </c>
    </row>
    <row r="66" customFormat="false" ht="41.75" hidden="false" customHeight="false" outlineLevel="0" collapsed="false">
      <c r="A66" s="8" t="s">
        <v>202</v>
      </c>
      <c r="B66" s="8" t="s">
        <v>158</v>
      </c>
      <c r="C66" s="17" t="s">
        <v>171</v>
      </c>
      <c r="D66" s="15" t="n">
        <v>1</v>
      </c>
      <c r="E66" s="8" t="s">
        <v>144</v>
      </c>
      <c r="F66" s="8" t="s">
        <v>145</v>
      </c>
      <c r="G66" s="8" t="s">
        <v>172</v>
      </c>
      <c r="H66" s="8" t="n">
        <v>3</v>
      </c>
    </row>
    <row r="67" customFormat="false" ht="41.75" hidden="false" customHeight="false" outlineLevel="0" collapsed="false">
      <c r="A67" s="8" t="s">
        <v>205</v>
      </c>
      <c r="B67" s="8" t="s">
        <v>142</v>
      </c>
      <c r="C67" s="17" t="s">
        <v>177</v>
      </c>
      <c r="D67" s="15" t="n">
        <v>1</v>
      </c>
      <c r="E67" s="8" t="s">
        <v>144</v>
      </c>
      <c r="F67" s="8" t="s">
        <v>145</v>
      </c>
      <c r="G67" s="8" t="s">
        <v>178</v>
      </c>
      <c r="H67" s="8" t="n">
        <v>1</v>
      </c>
    </row>
    <row r="68" customFormat="false" ht="28.35" hidden="false" customHeight="false" outlineLevel="0" collapsed="false">
      <c r="A68" s="8" t="s">
        <v>205</v>
      </c>
      <c r="B68" s="8" t="s">
        <v>147</v>
      </c>
      <c r="C68" s="17" t="s">
        <v>165</v>
      </c>
      <c r="D68" s="15" t="n">
        <v>1</v>
      </c>
      <c r="E68" s="8" t="s">
        <v>144</v>
      </c>
      <c r="F68" s="8" t="s">
        <v>153</v>
      </c>
      <c r="G68" s="8" t="s">
        <v>166</v>
      </c>
      <c r="H68" s="8" t="n">
        <v>0</v>
      </c>
    </row>
    <row r="69" customFormat="false" ht="28.35" hidden="false" customHeight="false" outlineLevel="0" collapsed="false">
      <c r="A69" s="8" t="s">
        <v>205</v>
      </c>
      <c r="B69" s="8" t="s">
        <v>150</v>
      </c>
      <c r="C69" s="17" t="s">
        <v>167</v>
      </c>
      <c r="D69" s="15" t="n">
        <v>1</v>
      </c>
      <c r="E69" s="8" t="s">
        <v>144</v>
      </c>
      <c r="F69" s="8" t="s">
        <v>145</v>
      </c>
      <c r="G69" s="8" t="s">
        <v>168</v>
      </c>
      <c r="H69" s="8" t="n">
        <v>2</v>
      </c>
    </row>
    <row r="70" customFormat="false" ht="28.35" hidden="false" customHeight="false" outlineLevel="0" collapsed="false">
      <c r="A70" s="8" t="s">
        <v>205</v>
      </c>
      <c r="B70" s="8" t="s">
        <v>155</v>
      </c>
      <c r="C70" s="17" t="s">
        <v>169</v>
      </c>
      <c r="D70" s="15" t="n">
        <v>1</v>
      </c>
      <c r="E70" s="8" t="s">
        <v>144</v>
      </c>
      <c r="F70" s="8" t="s">
        <v>145</v>
      </c>
      <c r="G70" s="8" t="s">
        <v>170</v>
      </c>
      <c r="H70" s="8" t="n">
        <v>4</v>
      </c>
    </row>
    <row r="71" customFormat="false" ht="41.75" hidden="false" customHeight="false" outlineLevel="0" collapsed="false">
      <c r="A71" s="8" t="s">
        <v>205</v>
      </c>
      <c r="B71" s="8" t="s">
        <v>158</v>
      </c>
      <c r="C71" s="17" t="s">
        <v>171</v>
      </c>
      <c r="D71" s="15" t="n">
        <v>1</v>
      </c>
      <c r="E71" s="8" t="s">
        <v>144</v>
      </c>
      <c r="F71" s="8" t="s">
        <v>145</v>
      </c>
      <c r="G71" s="8" t="s">
        <v>172</v>
      </c>
      <c r="H71" s="8" t="n">
        <v>3</v>
      </c>
    </row>
  </sheetData>
  <conditionalFormatting sqref="D2:D71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2026-07-27T20:32:18Z</dcterms:created>
  <dc:creator>openpyxl</dc:creator>
  <dc:description/>
  <dc:language>en-US</dc:language>
  <cp:lastModifiedBy/>
  <dcterms:modified xsi:type="dcterms:W3CDTF">2026-07-27T20:32:26Z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